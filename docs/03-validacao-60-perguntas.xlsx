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guntas" sheetId="1" state="visible" r:id="rId3"/>
    <sheet name="Resumo" sheetId="2" state="visible" r:id="rId4"/>
  </sheets>
  <definedNames>
    <definedName function="false" hidden="true" localSheetId="0" name="_xlnm._FilterDatabase" vbProcedure="false">Perguntas!$A$1:$Q$61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<sst xmlns="http://schemas.openxmlformats.org/spreadsheetml/2006/main" count="897" uniqueCount="500">
  <si>
    <t xml:space="preserve">#</t>
  </si>
  <si>
    <t xml:space="preserve">Planta</t>
  </si>
  <si>
    <t xml:space="preserve">Nome científico</t>
  </si>
  <si>
    <t xml:space="preserve">RENISUS</t>
  </si>
  <si>
    <t xml:space="preserve">Eixo</t>
  </si>
  <si>
    <t xml:space="preserve">Nível</t>
  </si>
  <si>
    <t xml:space="preserve">Pergunta</t>
  </si>
  <si>
    <t xml:space="preserve">A</t>
  </si>
  <si>
    <t xml:space="preserve">B</t>
  </si>
  <si>
    <t xml:space="preserve">C</t>
  </si>
  <si>
    <t xml:space="preserve">D</t>
  </si>
  <si>
    <t xml:space="preserve">Gabarito</t>
  </si>
  <si>
    <t xml:space="preserve">Feedback (explicação)</t>
  </si>
  <si>
    <t xml:space="preserve">Campo da ficha</t>
  </si>
  <si>
    <t xml:space="preserve">Citação na curadoria</t>
  </si>
  <si>
    <t xml:space="preserve">Parecer</t>
  </si>
  <si>
    <t xml:space="preserve">Observações do avaliador</t>
  </si>
  <si>
    <t xml:space="preserve">Amora</t>
  </si>
  <si>
    <t xml:space="preserve">Morus nigra L.</t>
  </si>
  <si>
    <t xml:space="preserve">Sim</t>
  </si>
  <si>
    <t xml:space="preserve">Indicação Terapêutica</t>
  </si>
  <si>
    <t xml:space="preserve">facil</t>
  </si>
  <si>
    <t xml:space="preserve">Entre os usos populares registrados na literatura para a Amora (Morus nigra L.), qual está relacionado a uma fase da vida da mulher?</t>
  </si>
  <si>
    <t xml:space="preserve">Auxílio nos sintomas da menopausa</t>
  </si>
  <si>
    <t xml:space="preserve">Tratamento de ovários policísticos</t>
  </si>
  <si>
    <t xml:space="preserve">Combate a inflamações uterinas e hemorragias</t>
  </si>
  <si>
    <t xml:space="preserve">Estímulo da produção de leite na amamentação</t>
  </si>
  <si>
    <t xml:space="preserve">A curadoria registra o uso da Amora para menopausa (Da Silva, 2025). As opções B e C também são usos reais, mas de outras espécies do catálogo: ovários policísticos aparece na ficha da Cidreira e inflamações uterinas na do Crajiru.</t>
  </si>
  <si>
    <t xml:space="preserve">usos_tradicionais</t>
  </si>
  <si>
    <t xml:space="preserve">Uso popular na literatura: "menopausa (Da Silva, 2025)".</t>
  </si>
  <si>
    <t xml:space="preserve">Preparo Tradicional</t>
  </si>
  <si>
    <t xml:space="preserve">medio</t>
  </si>
  <si>
    <t xml:space="preserve">Segundo os dados sobre o uso da Amora, qual é a quantidade diária registrada para o chá da folha?</t>
  </si>
  <si>
    <t xml:space="preserve">1 xícara ao dia</t>
  </si>
  <si>
    <t xml:space="preserve">2 xícaras ao dia</t>
  </si>
  <si>
    <t xml:space="preserve">Até 3 vezes ao dia</t>
  </si>
  <si>
    <t xml:space="preserve">Sem limite estabelecido</t>
  </si>
  <si>
    <t xml:space="preserve">A ficha registra "o chá da folha, 1 xícara ao dia (Amador e Lucas, 2025)". A folha também aparece em decocção para anemia e emagrecimento (Oliveira et al., 2025).</t>
  </si>
  <si>
    <t xml:space="preserve">preparo</t>
  </si>
  <si>
    <t xml:space="preserve">Dados sobre o uso: "o chá da folha, 1 xícara ao dia (Amador e Lucas, 2025)".</t>
  </si>
  <si>
    <t xml:space="preserve">Segurança e Contraindicação</t>
  </si>
  <si>
    <t xml:space="preserve">O campo de contraindicações da ficha da Amora traz a palavra "Nenhuma". Qual é a leitura correta dessa informação?</t>
  </si>
  <si>
    <t xml:space="preserve">Que a planta pode ser consumida em qualquer quantidade, sem risco</t>
  </si>
  <si>
    <t xml:space="preserve">Que a literatura consultada não relatou contraindicações, o que não dispensa uso responsável</t>
  </si>
  <si>
    <t xml:space="preserve">Que a planta foi aprovada como medicamento isento de prescrição</t>
  </si>
  <si>
    <t xml:space="preserve">Que crianças e gestantes podem usá-la livremente e sem orientação</t>
  </si>
  <si>
    <t xml:space="preserve">Ausência de contraindicação relatada não é o mesmo que comprovação de segurança. A própria curadoria abre com a diretriz da ANVISA: as plantas medicinais devem ser usadas garantindo os efeitos benéficos e evitando que o uso incorreto cause efeitos indesejáveis e toxicidade (ANVISA, 2010).</t>
  </si>
  <si>
    <t xml:space="preserve">contraindicacoes</t>
  </si>
  <si>
    <t xml:space="preserve">Contra indicações: "Nenhuma (Veras, 2025)" + nota de abertura da curadoria (ANVISA, 2010).</t>
  </si>
  <si>
    <t xml:space="preserve">Identificação Botânica</t>
  </si>
  <si>
    <t xml:space="preserve">dificil</t>
  </si>
  <si>
    <t xml:space="preserve">A que família botânica pertence a Amora (Morus nigra L.)?</t>
  </si>
  <si>
    <t xml:space="preserve">Myrtaceae</t>
  </si>
  <si>
    <t xml:space="preserve">Lauraceae</t>
  </si>
  <si>
    <t xml:space="preserve">Moraceae</t>
  </si>
  <si>
    <t xml:space="preserve">Lamiaceae</t>
  </si>
  <si>
    <t xml:space="preserve">Moraceae (Souza e Lorenzi, 2019). Myrtaceae é a família da Goiaba, Lauraceae a do Abacate e Lamiaceae a do Boldo, Hortelã pimenta, Boldinho japonês e Malvarisco.</t>
  </si>
  <si>
    <t xml:space="preserve">familia</t>
  </si>
  <si>
    <t xml:space="preserve">Família: "Moraceae (Souza e Lorenzi, 2019)".</t>
  </si>
  <si>
    <t xml:space="preserve">Goiaba</t>
  </si>
  <si>
    <t xml:space="preserve">Psidium guajava L.</t>
  </si>
  <si>
    <t xml:space="preserve">Qual é o uso popular da Goiaba (Psidium guajava L.) mais citado na literatura reunida pela curadoria?</t>
  </si>
  <si>
    <t xml:space="preserve">Efeito calmante e auxílio no sono</t>
  </si>
  <si>
    <t xml:space="preserve">Ação antidiarreica</t>
  </si>
  <si>
    <t xml:space="preserve">Tratamento de pedra nos rins</t>
  </si>
  <si>
    <t xml:space="preserve">Fortalecimento dos cabelos</t>
  </si>
  <si>
    <t xml:space="preserve">A ação antidiarreica é o uso com mais citações na ficha (Martínez et al., 2021; Almeida et al., 2023; Yusuf et al., 2021; Oliveira et al., 2024). Calmante é uso da Cidreira e do Capim santo; pedra nos rins, do Pobre-velho; fortalecer cabelos, do Capim santo.</t>
  </si>
  <si>
    <t xml:space="preserve">Uso popular na literatura: "Antidiarreica (Martínez et al., 2021; Almeida et al., 2023; Yusuf et al., 2021; Oliveira et al., 2024)".</t>
  </si>
  <si>
    <t xml:space="preserve">De acordo com os dados sobre o uso, de que formas as folhas da goiabeira são preparadas?</t>
  </si>
  <si>
    <t xml:space="preserve">Somente em tintura alcoólica</t>
  </si>
  <si>
    <t xml:space="preserve">Apenas por inalação do vapor</t>
  </si>
  <si>
    <t xml:space="preserve">Em infusões, decocções e extratos aquosos</t>
  </si>
  <si>
    <t xml:space="preserve">Apenas em compressa das flores</t>
  </si>
  <si>
    <t xml:space="preserve">A ficha registra que as folhas são usadas em infusões, decocções e extratos aquosos (Yusuf et al., 2021), além do chá da folha (Santana et al., 2025) e de decocção e banho (Oliveira et al., 2025).</t>
  </si>
  <si>
    <t xml:space="preserve">Dados sobre o uso: "As folhas são usadas em infusões, decocções e extratos aquosos (Yusuf et al., 2021)".</t>
  </si>
  <si>
    <t xml:space="preserve">A ficha da Goiaba não registra contraindicações. Qual orientação da ANVISA, citada na abertura da curadoria, continua valendo mesmo nesses casos?</t>
  </si>
  <si>
    <t xml:space="preserve">Que plantas sem contraindicação registrada dispensam qualquer cuidado</t>
  </si>
  <si>
    <t xml:space="preserve">Que apenas as plantas da lista RENISUS exigem uso cuidadoso</t>
  </si>
  <si>
    <t xml:space="preserve">Que o uso deve garantir os efeitos benéficos e evitar que o uso incorreto cause efeitos indesejáveis e toxicidade</t>
  </si>
  <si>
    <t xml:space="preserve">Que toda planta medicinal exige prescrição médica obrigatória</t>
  </si>
  <si>
    <t xml:space="preserve">A curadoria abre justamente com essa diretriz (ANVISA, 2010): ela vale para todas as espécies, inclusive as que não têm contraindicação relatada na literatura consultada.</t>
  </si>
  <si>
    <t xml:space="preserve">nota_geral</t>
  </si>
  <si>
    <t xml:space="preserve">Nota de abertura da curadoria: "As plantas medicinais devem ser utilizadas, garantindo os efeitos benéficos e evitando que o uso incorreto possa causar efeitos indesejáveis e toxicidade (ANVISA, 2010)".</t>
  </si>
  <si>
    <t xml:space="preserve">Segundo a descrição morfológica da goiabeira, as flores brancas medem cerca de quanto de diâmetro?</t>
  </si>
  <si>
    <t xml:space="preserve">25 mm</t>
  </si>
  <si>
    <t xml:space="preserve">5 mm</t>
  </si>
  <si>
    <t xml:space="preserve">50 mm</t>
  </si>
  <si>
    <t xml:space="preserve">10 cm</t>
  </si>
  <si>
    <t xml:space="preserve">As flores brancas medem cerca de 25 mm de diâmetro e aparecem isoladas ou em grupos de 2 a 3 nas axilas das folhas. Os 10 cm da alternativa D correspondem ao diâmetro do fruto, não da flor.</t>
  </si>
  <si>
    <t xml:space="preserve">descricao</t>
  </si>
  <si>
    <t xml:space="preserve">Características morfológicas: "flores brancas, medindo cerca de 25mm de diâmetro" (Fitoterapia Brasil).</t>
  </si>
  <si>
    <t xml:space="preserve">Abacate</t>
  </si>
  <si>
    <t xml:space="preserve">Persea americana Mill.</t>
  </si>
  <si>
    <t xml:space="preserve">Quais condições metabólicas aparecem entre os usos populares registrados para o Abacate (Persea americana Mill.)?</t>
  </si>
  <si>
    <t xml:space="preserve">Anemia e emagrecimento</t>
  </si>
  <si>
    <t xml:space="preserve">Colesterol e diabetes</t>
  </si>
  <si>
    <t xml:space="preserve">Hipertireoidismo e ansiedade</t>
  </si>
  <si>
    <t xml:space="preserve">Leucemia e icterícia</t>
  </si>
  <si>
    <t xml:space="preserve">A ficha registra colesterol e diabetes (Oliveira et al., 2025). Anemia e emagrecimento são usos da Amora; hipertireoidismo e ansiedade, da Cidreira; leucemia e icterícia, do Crajiru.</t>
  </si>
  <si>
    <t xml:space="preserve">Uso popular na literatura: "colesterol e diabetes (Oliveira et al., 2025)".</t>
  </si>
  <si>
    <t xml:space="preserve">A curadoria descreve um preparo do abacateiro que não usa a folha. Qual é ele?</t>
  </si>
  <si>
    <t xml:space="preserve">Macerar a semente em álcool por sete dias</t>
  </si>
  <si>
    <t xml:space="preserve">Raspar a casca e deixar no fogo para retirada do óleo</t>
  </si>
  <si>
    <t xml:space="preserve">Torrar a folha até virar pó e dissolver em suco</t>
  </si>
  <si>
    <t xml:space="preserve">Ferver a raiz por 40 minutos e inalar o vapor</t>
  </si>
  <si>
    <t xml:space="preserve">A ficha registra: "como remédio se raspa a casca deixa no fogo para retirada do óleo (Bastos et al., 2025)". O caroço também aparece, em chá e suco, 2 xícaras/copos ao dia (Veras, 2025).</t>
  </si>
  <si>
    <t xml:space="preserve">Dados sobre o uso: "como remédio se raspa a casca deixa no fogo para retirada do óleo (Bastos et al., 2025)".</t>
  </si>
  <si>
    <t xml:space="preserve">Qual efeito indesejado a curadoria associa ao consumo excessivo do Abacate?</t>
  </si>
  <si>
    <t xml:space="preserve">Queda de pressão e dor no estômago</t>
  </si>
  <si>
    <t xml:space="preserve">Efeito abortivo em gestantes</t>
  </si>
  <si>
    <t xml:space="preserve">Prisão de ventre e indigestão</t>
  </si>
  <si>
    <t xml:space="preserve">Danos hepáticos severos</t>
  </si>
  <si>
    <t xml:space="preserve">Se ingerido em excesso, pode causar prisão de ventre e indigestão (Veras, 2025). Queda de pressão é o alerta da Cidreira; efeito abortivo, do Boldo e do Malvarisco.</t>
  </si>
  <si>
    <t xml:space="preserve">Contra indicações: "Se ingerido em excesso, pode causar prisão de ventre e indigestão (Veras, 2025)".</t>
  </si>
  <si>
    <t xml:space="preserve">Como as flores do abacateiro são descritas na curadoria?</t>
  </si>
  <si>
    <t xml:space="preserve">Pequenas, bissexuais e verde-amareladas</t>
  </si>
  <si>
    <t xml:space="preserve">Grandes, campanuladas e violáceas</t>
  </si>
  <si>
    <t xml:space="preserve">Amarelas, em espiga terminal protegida por brácteas cor de carmim</t>
  </si>
  <si>
    <t xml:space="preserve">Azuis-arroxeadas, em inflorescências capituliformes</t>
  </si>
  <si>
    <t xml:space="preserve">As flores são pequenas, bissexuais e verde-amareladas (Cavalcante, 1991). As demais descrições pertencem, respectivamente, ao Crajiru, ao Pobre-velho e à Cidreira.</t>
  </si>
  <si>
    <t xml:space="preserve">Características morfológicas: "flores são pequenas, bissexuais, verde-amareladas" (Cavalcante, 1991).</t>
  </si>
  <si>
    <t xml:space="preserve">Boldo</t>
  </si>
  <si>
    <t xml:space="preserve">Plectranthus barbatus Andrew</t>
  </si>
  <si>
    <t xml:space="preserve">O Boldo (Plectranthus barbatus Andrew) é registrado na curadoria principalmente para qual grupo de queixas?</t>
  </si>
  <si>
    <t xml:space="preserve">Cicatrização de feridas e queimaduras</t>
  </si>
  <si>
    <t xml:space="preserve">Má digestão e dores estomacais</t>
  </si>
  <si>
    <t xml:space="preserve">Pedra nos rins e infecção urinária</t>
  </si>
  <si>
    <t xml:space="preserve">Anemia e fraqueza</t>
  </si>
  <si>
    <t xml:space="preserve">A ficha lista má digestão, dor de barriga, prisão de ventre, dores estomacais, diarreia e cólica (Veras, 2025), além de distúrbios digestivos (Silva, 2025). Cicatrização é uso da Terramicina; pedra nos rins, do Pobre-velho.</t>
  </si>
  <si>
    <t xml:space="preserve">Uso popular na literatura: "má digestão, infecção no intestino e fígado, ... dor de barriga, prisão de ventre, dores estomacais, diarreia, cólica, gripe e calmante (Veras, 2025)".</t>
  </si>
  <si>
    <t xml:space="preserve">Segundo os dados sobre o uso do Boldo, qual é a quantidade diária registrada para o chá e o suco da folha?</t>
  </si>
  <si>
    <t xml:space="preserve">2 xícaras/copos ao dia</t>
  </si>
  <si>
    <t xml:space="preserve">4 xícaras ao dia</t>
  </si>
  <si>
    <t xml:space="preserve">A ficha registra "sua folha usada como chá e suco, 2 xícaras/copos ao dia (Veras, 2025)"; também aparecem decocções e infusões para mitigar inflamações (Warycha et al., 2022).</t>
  </si>
  <si>
    <t xml:space="preserve">Dados sobre o uso: "Sua folha usada como chá e suco, 2 xícaras/copos ao dia (Veras, 2025)".</t>
  </si>
  <si>
    <t xml:space="preserve">Qual é o alerta mais grave que a curadoria registra sobre o Boldo?</t>
  </si>
  <si>
    <t xml:space="preserve">Pode causar queda de pressão arterial</t>
  </si>
  <si>
    <t xml:space="preserve">Pode provocar litíase urinária</t>
  </si>
  <si>
    <t xml:space="preserve">Pode ter efeito abortivo</t>
  </si>
  <si>
    <t xml:space="preserve">Não há alerta registrado para esta espécie</t>
  </si>
  <si>
    <t xml:space="preserve">A ficha é explícita: abortivo, podendo trazer problemas de saúde se ingerido em excesso por gestantes, lactantes e crianças (Veras, 2025).</t>
  </si>
  <si>
    <t xml:space="preserve">Contra indicações: "Abortivo e pode trazer problemas de saúde, se ingerido em excesso por gestantes, lactantes e crianças (Veras, 2025)".</t>
  </si>
  <si>
    <t xml:space="preserve">De acordo com a descrição morfológica, como são as flores do Boldo e em que estrutura se organizam?</t>
  </si>
  <si>
    <t xml:space="preserve">Brancas, em panícula aberta no ápice dos ramos</t>
  </si>
  <si>
    <t xml:space="preserve">Pequenas e azuladas, em racemos (espigas)</t>
  </si>
  <si>
    <t xml:space="preserve">Róseas ou violáceas, em panículas terminais</t>
  </si>
  <si>
    <t xml:space="preserve">Amarelas, em espiga terminal de 6 a 10 cm</t>
  </si>
  <si>
    <t xml:space="preserve">Flores pequenas e azuladas em racemos, ou espigas (Jardim Botânico USP). As outras alternativas descrevem a Terramicina, o Crajiru e o Pobre-velho.</t>
  </si>
  <si>
    <t xml:space="preserve">Características morfológicas: "flores pequenas e azuladas se dão em racemos (espigas)" (Jardim Botânico USP).</t>
  </si>
  <si>
    <t xml:space="preserve">Corama</t>
  </si>
  <si>
    <t xml:space="preserve">Kalanchoe pinnata Lam. (antiga Bryophyllum pinnatum)</t>
  </si>
  <si>
    <t xml:space="preserve">Quais queixas gástricas aparecem entre os usos populares registrados para a Corama (Kalanchoe pinnata Lam.)?</t>
  </si>
  <si>
    <t xml:space="preserve">Gastrite e úlceras gástricas</t>
  </si>
  <si>
    <t xml:space="preserve">Gonorreia e nefrites</t>
  </si>
  <si>
    <t xml:space="preserve">Insônia e nervosismo</t>
  </si>
  <si>
    <t xml:space="preserve">Bronquite e asma</t>
  </si>
  <si>
    <t xml:space="preserve">A ficha registra gastrite (De Campos e Oliveira, 2025) e úlceras gástricas (Sousa et al., 2023), além de dor de estômago e indigestão (Oliveira et al., 2025). Gonorreia e nefrites são usos do Pobre-velho; bronquite e asma, do Cumaru.</t>
  </si>
  <si>
    <t xml:space="preserve">Uso popular na literatura: "Gastrite (De Campos e Oliveira, 2025); úlceras gástricas (Sousa et al., 2023)".</t>
  </si>
  <si>
    <t xml:space="preserve">Além do chá, que outra forma de uso da folha de Corama a curadoria registra — e por qual via?</t>
  </si>
  <si>
    <t xml:space="preserve">Banho das folhas, por via cutânea</t>
  </si>
  <si>
    <t xml:space="preserve">Compressa da folha, por via cutânea</t>
  </si>
  <si>
    <t xml:space="preserve">Inalação do vapor, por via respiratória</t>
  </si>
  <si>
    <t xml:space="preserve">Tintura da folha, por via oral</t>
  </si>
  <si>
    <t xml:space="preserve">A ficha registra "o chá e compressa da folha por via oral, cutânea (Amador e Lucas, 2025)", com o chá em 2 xícaras ao dia (Veras, 2025). Banho das folhas é preparo registrado para o Capim santo e para a Goiaba.</t>
  </si>
  <si>
    <t xml:space="preserve">Dados sobre o uso: "o chá e compressa da folha por via oral, cutânea (Amador e Lucas, 2025)".</t>
  </si>
  <si>
    <t xml:space="preserve">A ficha da Corama registra "Nenhuma" em contraindicações. Qual conduta é a mais adequada diante desse dado?</t>
  </si>
  <si>
    <t xml:space="preserve">Considerar o uso liberado para gestantes, lactantes e crianças</t>
  </si>
  <si>
    <t xml:space="preserve">Assumir que a planta é comprovadamente segura em qualquer dose</t>
  </si>
  <si>
    <t xml:space="preserve">Entender que a literatura consultada não relatou contraindicação e manter uso responsável</t>
  </si>
  <si>
    <t xml:space="preserve">Concluir que a planta não tem princípios ativos relevantes</t>
  </si>
  <si>
    <t xml:space="preserve">A ausência de relato na literatura consultada não é prova de inocuidade. A própria ficha lista compostos ativos como alcaloides, saponinas, taninos e antraquinonas (Huachhuaco et al., 2024) — motivo a mais para uso responsável.</t>
  </si>
  <si>
    <t xml:space="preserve">Contra indicações: "Nenhuma (Veras, 2025)" + Composição fitoquímica (Huachhuaco et al., 2024).</t>
  </si>
  <si>
    <t xml:space="preserve">Qual característica das folhas identifica a Corama na descrição morfológica da curadoria?</t>
  </si>
  <si>
    <t xml:space="preserve">Folhas opostas, suculentas, ovaladas e de margem crenada</t>
  </si>
  <si>
    <t xml:space="preserve">Folhas espiraladas, invaginantes e paralelinérveas</t>
  </si>
  <si>
    <t xml:space="preserve">Folhas compostas, bi ou trifolioladas</t>
  </si>
  <si>
    <t xml:space="preserve">Folhas verde-grisáceo, longas, lineares e estreitas</t>
  </si>
  <si>
    <t xml:space="preserve">Folhas opostas, suculentas, ovaladas e de margem crenada, com 10 a 20 cm (Lorenzi e Matos, 2008). As demais descrevem o Pobre-velho, o Crajiru e o Capim santo.</t>
  </si>
  <si>
    <t xml:space="preserve">Características morfológicas: "folhas opostas, suculentas, ovaladas e de margem crenada com 10 a 20cm de comprimento" (Lorenzi e Matos, 2008).</t>
  </si>
  <si>
    <t xml:space="preserve">Crajiru</t>
  </si>
  <si>
    <t xml:space="preserve">Fidericia chica (Bonpl.) (antiga Arrabidae chica)</t>
  </si>
  <si>
    <t xml:space="preserve">Qual uso do Crajiru (Fidericia chica) é sustentado pelo maior número de fontes na curadoria, incluindo a mais antiga delas (Côrrea, 1926)?</t>
  </si>
  <si>
    <t xml:space="preserve">Tratamento de anemia</t>
  </si>
  <si>
    <t xml:space="preserve">Alívio da insônia</t>
  </si>
  <si>
    <t xml:space="preserve">Controle da diabetes</t>
  </si>
  <si>
    <t xml:space="preserve">Ação descongestionante nasal</t>
  </si>
  <si>
    <t xml:space="preserve">Anemia aparece em três fontes: Amador e Lucas (2025), Ferreira et al. (2013) e Côrrea (1926). A ficha também registra ação anti-inflamatória, cicatrizante e antimicrobiana.</t>
  </si>
  <si>
    <t xml:space="preserve">Uso popular na literatura: "Anemia (Amador e Lucas, 2025; Ferreira et al., 2013; Côrrea, 1926)".</t>
  </si>
  <si>
    <t xml:space="preserve">Qual é a única forma de uso do Crajiru registrada no campo "Dados sobre o uso" da curadoria?</t>
  </si>
  <si>
    <t xml:space="preserve">Compressa da folha sobre a pele</t>
  </si>
  <si>
    <t xml:space="preserve">Chá das folhas, por via oral</t>
  </si>
  <si>
    <t xml:space="preserve">Maceração das folhas em álcool</t>
  </si>
  <si>
    <t xml:space="preserve">A ficha registra apenas "Chá das folhas, uso oral (Amador e Lucas, 2025)". Atenção: embora o Crajiru tenha usos cicatrizantes e para lavagem de feridas citados na literatura, a curadoria não descreve preparo de uso externo para esta espécie.</t>
  </si>
  <si>
    <t xml:space="preserve">Dados sobre o uso: "Chá das folhas, uso oral (Amador e Lucas, 2025)".</t>
  </si>
  <si>
    <t xml:space="preserve">Por qual motivo a curadoria contraindica o Crajiru para gestantes, lactantes e crianças?</t>
  </si>
  <si>
    <t xml:space="preserve">Por comprovação de efeito abortivo</t>
  </si>
  <si>
    <t xml:space="preserve">Por falta de estudos</t>
  </si>
  <si>
    <t xml:space="preserve">Pelo alto teor de mentol</t>
  </si>
  <si>
    <t xml:space="preserve">Por risco de queda de pressão arterial</t>
  </si>
  <si>
    <t xml:space="preserve">A contraindicação é por falta de estudos — não por dano comprovado. É a mesma justificativa usada para o Pobre-velho. O teor de mentol é o motivo no Boldinho japonês; o efeito abortivo, no Boldo e no Malvarisco.</t>
  </si>
  <si>
    <t xml:space="preserve">Contra indicações: "Contra indicado o uso por gestantes, lactantes e crianças, por falta de estudos".</t>
  </si>
  <si>
    <t xml:space="preserve">Qual é o hábito de crescimento do Crajiru descrito na curadoria?</t>
  </si>
  <si>
    <t xml:space="preserve">Erva de hastes cilíndricas e duras, até 80 cm</t>
  </si>
  <si>
    <t xml:space="preserve">Planta herbácea estolonífera de caule quadrangular</t>
  </si>
  <si>
    <t xml:space="preserve">Árvore frutífera perene de até 10 m</t>
  </si>
  <si>
    <t xml:space="preserve">Planta arbustiva trepadeira, com ramos escandentes</t>
  </si>
  <si>
    <t xml:space="preserve">Planta arbustiva trepadeira com ramos escandentes, folhas bi ou trifolioladas e frutos em cápsulas deiscentes (Ferreira et al., 2005). As outras descrevem o Pobre-velho, o Boldinho japonês e a Goiaba.</t>
  </si>
  <si>
    <t xml:space="preserve">Características morfológicas: "Planta arbustiva trepadeira, com ramos escandentes" (Ferreira et al., 2005).</t>
  </si>
  <si>
    <t xml:space="preserve">Pobre-velho</t>
  </si>
  <si>
    <t xml:space="preserve">Costus spicatus Jaqc.</t>
  </si>
  <si>
    <t xml:space="preserve">Os usos populares do Pobre-velho (Costus spicatus Jaqc.) se concentram em qual sistema do corpo?</t>
  </si>
  <si>
    <t xml:space="preserve">Sistema respiratório</t>
  </si>
  <si>
    <t xml:space="preserve">Sistema urinário e renal</t>
  </si>
  <si>
    <t xml:space="preserve">Sistema nervoso central</t>
  </si>
  <si>
    <t xml:space="preserve">Sistema tegumentar (pele)</t>
  </si>
  <si>
    <t xml:space="preserve">A ficha registra pedra nos rins, infecção urinária, dor de urina, nefrites, ação diurética, ureolítica e para disfunção renal, além de bexiga (Côrrea, 1926).</t>
  </si>
  <si>
    <t xml:space="preserve">Uso popular na literatura: "Pedra nos rins (Oliveira et al., 2025; Amador e Lucas, 2025); infecção urinária, dor de urina (Amador e Lucas, 2025)".</t>
  </si>
  <si>
    <t xml:space="preserve">Segundo os dados sobre o uso, qual preparo das folhas do Pobre-velho é indicado para pedra nos rins?</t>
  </si>
  <si>
    <t xml:space="preserve">Infusão</t>
  </si>
  <si>
    <t xml:space="preserve">Compressa cutânea</t>
  </si>
  <si>
    <t xml:space="preserve">Banho</t>
  </si>
  <si>
    <t xml:space="preserve">Tintura</t>
  </si>
  <si>
    <t xml:space="preserve">A ficha registra "folhas usadas em infusão para pedra nos rins (Oliveira et al., 2025)", além do chá das folhas por via oral (Amador e Lucas, 2025).</t>
  </si>
  <si>
    <t xml:space="preserve">Dados sobre o uso: "Folhas usadas em infusão para pedra nos rins (Oliveira et al., 2025)".</t>
  </si>
  <si>
    <t xml:space="preserve">Qual grupo NÃO deve usar o Pobre-velho, segundo a curadoria?</t>
  </si>
  <si>
    <t xml:space="preserve">Apenas pessoas com hipertensão</t>
  </si>
  <si>
    <t xml:space="preserve">Apenas menores de 18 anos</t>
  </si>
  <si>
    <t xml:space="preserve">Gestantes, lactantes e crianças</t>
  </si>
  <si>
    <t xml:space="preserve">Nenhum grupo é contraindicado</t>
  </si>
  <si>
    <t xml:space="preserve">Contraindicado para gestantes, lactantes e crianças, por falta de estudos. A restrição a menores de 18 anos é específica do Capim santo.</t>
  </si>
  <si>
    <t xml:space="preserve">Que estrutura protege a espiga terminal de flores amarelas do Pobre-velho?</t>
  </si>
  <si>
    <t xml:space="preserve">Brácteas escamosas cor de carmim</t>
  </si>
  <si>
    <t xml:space="preserve">Cápsulas deiscentes</t>
  </si>
  <si>
    <t xml:space="preserve">Um cálice coriáceo ferrugíneo</t>
  </si>
  <si>
    <t xml:space="preserve">Uma bainha pilosa esbranquiçada</t>
  </si>
  <si>
    <t xml:space="preserve">Flores amarelas em espiga terminal de 6 a 10 cm, protegida por brácteas escamosas cor de carmim (Côrrea, 1926). O cálice coriáceo ferrugíneo é do Cumaru; as cápsulas deiscentes, do Crajiru.</t>
  </si>
  <si>
    <t xml:space="preserve">Características morfológicas: "flores amarelas dispostas em espiga terminal de 6-10 cm, protegida por brácteas escamosas cor de carmim" (Côrrea, 1926).</t>
  </si>
  <si>
    <t xml:space="preserve">Terramicina</t>
  </si>
  <si>
    <t xml:space="preserve">Alternanthera brasiliana L.</t>
  </si>
  <si>
    <t xml:space="preserve">Não</t>
  </si>
  <si>
    <t xml:space="preserve">Qual é o uso da Terramicina (Alternanthera brasiliana L.) com maior número de fontes na curadoria?</t>
  </si>
  <si>
    <t xml:space="preserve">Ação anti-inflamatória</t>
  </si>
  <si>
    <t xml:space="preserve">Ação calmante</t>
  </si>
  <si>
    <t xml:space="preserve">Controle do colesterol</t>
  </si>
  <si>
    <t xml:space="preserve">Inflamação/anti-inflamatório aparece em quatro fontes (Oliveira et al., 2025; Amador e Lucas, 2025; Pereira, 2023; Freitas, 2025). A ficha ainda registra ação cicatrizante, analgésica e efeitos antifúngicos e antigripais.</t>
  </si>
  <si>
    <t xml:space="preserve">Uso popular na literatura: "Inflamação (anti-inflamatório) (Oliveira et al., 2025; Amador e Lucas, 2025; Pereira, 2023; Freitas, 2025)".</t>
  </si>
  <si>
    <t xml:space="preserve">Segundo a curadoria, qual preparo da Terramicina é usado para cicatrização e queimaduras?</t>
  </si>
  <si>
    <t xml:space="preserve">O chá das folhas</t>
  </si>
  <si>
    <t xml:space="preserve">O sumo da planta</t>
  </si>
  <si>
    <t xml:space="preserve">A decocção da raiz</t>
  </si>
  <si>
    <t xml:space="preserve">O óleo extraído da casca</t>
  </si>
  <si>
    <t xml:space="preserve">A ficha distingue as duas formas: o chá é usado para inflamações em geral e o sumo, para cicatrização e queimaduras (Freitas, 2025).</t>
  </si>
  <si>
    <t xml:space="preserve">Dados sobre o uso: "Chá usado para inflamações em geral, sumo usado para cicatrização, para queimaduras (Freitas, 2025)".</t>
  </si>
  <si>
    <t xml:space="preserve">A contraindicação da Terramicina para gestantes, lactantes e crianças tem uma ressalva. Qual é ela?</t>
  </si>
  <si>
    <t xml:space="preserve">Vale apenas para o uso do sumo, não do chá</t>
  </si>
  <si>
    <t xml:space="preserve">Vale apenas para menores de 6 anos</t>
  </si>
  <si>
    <t xml:space="preserve">Não se aplica sob supervisão médica</t>
  </si>
  <si>
    <t xml:space="preserve">Vale apenas em doses acima de 3 xícaras diárias</t>
  </si>
  <si>
    <t xml:space="preserve">A ficha registra a contraindicação "exceto sob supervisão médica" (Freitas, 2025) — é a única das 15 espécies com essa ressalva explícita.</t>
  </si>
  <si>
    <t xml:space="preserve">Contra indicações: "Contra indicado o uso por gestantes, lactantes e crianças, exceto sob supervisão médica (Freitas, 2025)".</t>
  </si>
  <si>
    <t xml:space="preserve">A coloração das folhas da Terramicina, segundo a descrição morfológica, pode variar entre quais tons?</t>
  </si>
  <si>
    <t xml:space="preserve">Apenas tons de verde-acinzentado</t>
  </si>
  <si>
    <t xml:space="preserve">De verde, em várias tonalidades, até vermelho e púrpura</t>
  </si>
  <si>
    <t xml:space="preserve">De verde escuro a roxo-purpúreo, apenas no caule</t>
  </si>
  <si>
    <t xml:space="preserve">De branco a vermelho, conforme a maturação</t>
  </si>
  <si>
    <t xml:space="preserve">A folha pode ser verde em várias tonalidades até cores mais fortes como vermelho e púrpura (Fitoterapia Brasil). A alternativa C descreve o caule da Hortelã pimenta.</t>
  </si>
  <si>
    <t xml:space="preserve">Características morfológicas: "a coloração pode ser verde, em várias tonalidades, até cores mais fortes como vermelho e púrpura" (Fitoterapia Brasil).</t>
  </si>
  <si>
    <t xml:space="preserve">Cidreira</t>
  </si>
  <si>
    <t xml:space="preserve">Lippia alba (Mill.) N.E.Br.</t>
  </si>
  <si>
    <t xml:space="preserve">Qual é o uso popular mais destacado da Cidreira (Lippia alba) na curadoria?</t>
  </si>
  <si>
    <t xml:space="preserve">Efeito calmante</t>
  </si>
  <si>
    <t xml:space="preserve">Ação cicatrizante</t>
  </si>
  <si>
    <t xml:space="preserve">Efeito antidiarreico</t>
  </si>
  <si>
    <t xml:space="preserve">Ação diurética</t>
  </si>
  <si>
    <t xml:space="preserve">A ficha abre com "Calmante (Veras, 2025; Amador e Lucas, 2025)" e registra ainda insônia, ansiedade e nervosismo.</t>
  </si>
  <si>
    <t xml:space="preserve">Uso popular na literatura: "Calmante (Veras, 2025; Amador e Lucas, 2025)".</t>
  </si>
  <si>
    <t xml:space="preserve">Quais formas de preparo das folhas da Cidreira estão registradas na curadoria?</t>
  </si>
  <si>
    <t xml:space="preserve">Chá por via oral e infusão das folhas</t>
  </si>
  <si>
    <t xml:space="preserve">Banho e compressa cutânea</t>
  </si>
  <si>
    <t xml:space="preserve">Tintura e inalante</t>
  </si>
  <si>
    <t xml:space="preserve">Decocção da raiz e maceração</t>
  </si>
  <si>
    <t xml:space="preserve">A ficha registra chá das folhas por via oral (Amador e Lucas, 2025) e infusão das folhas (Oliveira et al., 2025). Tintura e inalante são preparos do Boldinho japonês.</t>
  </si>
  <si>
    <t xml:space="preserve">Dados sobre o uso: "Chá das folhas por via oral (Amador e Lucas, 2025); infusão das folhas (Oliveira et al., 2025)".</t>
  </si>
  <si>
    <t xml:space="preserve">Que efeitos o consumo excessivo de Cidreira pode causar, segundo a curadoria?</t>
  </si>
  <si>
    <t xml:space="preserve">Náusea e sonolência intensa</t>
  </si>
  <si>
    <t xml:space="preserve">Danos hepáticos e litíase urinária</t>
  </si>
  <si>
    <t xml:space="preserve">A ficha alerta: "Se ingerir em excesso, pode ter queda de pressão e dor no estômago (Veras, 2025)" — coerente com o uso registrado de regular a pressão arterial. Prisão de ventre é o alerta do Abacate.</t>
  </si>
  <si>
    <t xml:space="preserve">Contra indicações: "Se ingerir em excesso, pode ter queda de pressão e dor no estômago (Veras, 2025)".</t>
  </si>
  <si>
    <t xml:space="preserve">A que família botânica pertence a Cidreira (Lippia alba)?</t>
  </si>
  <si>
    <t xml:space="preserve">Amaranthaceae</t>
  </si>
  <si>
    <t xml:space="preserve">Verbenaceae</t>
  </si>
  <si>
    <t xml:space="preserve">Poaceae</t>
  </si>
  <si>
    <t xml:space="preserve">Verbenaceae (Souza e Lorenzi, 2019) — atenção, é uma confusão comum: a "erva-cidreira" da família Lamiaceae é outra espécie. Amaranthaceae é a família da Terramicina e da Cuia-mansa; Poaceae, a do Capim santo.</t>
  </si>
  <si>
    <t xml:space="preserve">Família: "Verbenaceae (Souza e Lorenzi, 2019)".</t>
  </si>
  <si>
    <t xml:space="preserve">Hortelã pimenta</t>
  </si>
  <si>
    <t xml:space="preserve">Mentha x piperita L.</t>
  </si>
  <si>
    <t xml:space="preserve">Quais usos populares a curadoria registra para a Hortelã pimenta (Mentha x piperita L.)?</t>
  </si>
  <si>
    <t xml:space="preserve">Gripe, problemas respiratórios e diarreia</t>
  </si>
  <si>
    <t xml:space="preserve">Anemia e cicatrização de feridas</t>
  </si>
  <si>
    <t xml:space="preserve">A ficha registra gripe e problemas respiratórios (Amador e Lucas, 2025) e diarreia e gripe (Oliveira et al., 2025) — é uma das fichas com menos usos listados no catálogo.</t>
  </si>
  <si>
    <t xml:space="preserve">Uso popular na literatura: "Gripe, problemas respiratórios (Amador e Lucas, 2025); diarreia, gripe (Oliveira et al., 2025)".</t>
  </si>
  <si>
    <t xml:space="preserve">Segundo a curadoria, de quais três maneiras a folha da Hortelã pimenta pode ser utilizada?</t>
  </si>
  <si>
    <t xml:space="preserve">Banho, compressa e inalação</t>
  </si>
  <si>
    <t xml:space="preserve">Decocção, infusão ou maceração</t>
  </si>
  <si>
    <t xml:space="preserve">Tintura, xarope ou pomada</t>
  </si>
  <si>
    <t xml:space="preserve">Suco, sumo ou óleo</t>
  </si>
  <si>
    <t xml:space="preserve">A folha pode ser utilizada em decocção, infusão ou maceração (Oliveira et al., 2025); a ficha também registra o chá por via oral (Amador e Lucas, 2025) e o uso por infusão (Pereira, 2020).</t>
  </si>
  <si>
    <t xml:space="preserve">Dados sobre o uso: "Folha pode ser utilizada em deccoção, infusão ou maceração (Oliveira et al., 2025)".</t>
  </si>
  <si>
    <t xml:space="preserve">A Hortelã pimenta tem a lista de contraindicações mais extensa do catálogo. Qual das situações abaixo NÃO consta nessa lista?</t>
  </si>
  <si>
    <t xml:space="preserve">Refluxo gastroesofágico</t>
  </si>
  <si>
    <t xml:space="preserve">Cálculos biliares e litíase urinária</t>
  </si>
  <si>
    <t xml:space="preserve">Crianças menores de 4 anos</t>
  </si>
  <si>
    <t xml:space="preserve">Pessoas com hipertensão arterial</t>
  </si>
  <si>
    <t xml:space="preserve">A ficha contraindica na gestação e lactação, para refluxo gastroesofágico, menores de 4 anos, cálculos biliares, obstrução dos ductos biliares, danos hepáticos severos e litíase urinária (EMA, 2020). Hipertensão não aparece.</t>
  </si>
  <si>
    <t xml:space="preserve">Contra indicações: "...refluxo gastroesofágico... crianças menores de 4 anos... cálculos biliares, obstrução dos ductos biliares, danos hepáticos severos e litíase urinária (EMA, 2020)".</t>
  </si>
  <si>
    <t xml:space="preserve">Qual característica do caule aparece na descrição morfológica da Hortelã pimenta?</t>
  </si>
  <si>
    <t xml:space="preserve">Caule quadrangular, de cor verde escuro a roxo-purpúreo</t>
  </si>
  <si>
    <t xml:space="preserve">Caule rizomatoso, escuro, curto e palhoso</t>
  </si>
  <si>
    <t xml:space="preserve">Caule liso, prostrado, de 0,5 a 1,2 m</t>
  </si>
  <si>
    <t xml:space="preserve">Ramos eretos e sublenhosos de até 1,5 m</t>
  </si>
  <si>
    <t xml:space="preserve">Caules quadrangulares, de cor verde escuro a roxo-purpúreo (Fitoterapia Brasil). As outras descrevem o Capim santo, a Cuia-mansa e o Boldo.</t>
  </si>
  <si>
    <t xml:space="preserve">Características morfológicas: "caules quadrangulares, de cor verde escuro a roxo-purpúreo" (Fitoterapia Brasil).</t>
  </si>
  <si>
    <t xml:space="preserve">Cuia-mansa</t>
  </si>
  <si>
    <t xml:space="preserve">Alternanthera tenella</t>
  </si>
  <si>
    <t xml:space="preserve">Quais usos populares a curadoria registra para a Cuia-mansa (Alternanthera tenella)?</t>
  </si>
  <si>
    <t xml:space="preserve">Infecção urinária, anti-inflamatório e antioxidante</t>
  </si>
  <si>
    <t xml:space="preserve">Calmante, insônia e ansiedade</t>
  </si>
  <si>
    <t xml:space="preserve">Tosse, bronquite e asma</t>
  </si>
  <si>
    <t xml:space="preserve">Náuseas, vômitos e gases</t>
  </si>
  <si>
    <t xml:space="preserve">A ficha registra infecção urinária (Da Silva, Pantoja e Oliveira, 2022), anti-inflamatório (Kassuya et al., 2021; Magalhães et al., 2021) e antioxidante (Brandão et al., 2014).</t>
  </si>
  <si>
    <t xml:space="preserve">Uso popular na literatura: "Infecção urinária (Da Silva, Pantoja e Oliveira, 2022); anti-inflamatório (Kassuya et al., 2021; Magalhães et al., 2021); Anti-oxidante (Brandão et al., 2014)".</t>
  </si>
  <si>
    <t xml:space="preserve">A curadoria registra para a Cuia-mansa o preparo mais detalhado do catálogo em tempo e frequência. Qual é ele?</t>
  </si>
  <si>
    <t xml:space="preserve">Infusão por cerca de 10 minutos, até três vezes ao dia</t>
  </si>
  <si>
    <t xml:space="preserve">Decocção por 40 minutos, uma vez ao dia</t>
  </si>
  <si>
    <t xml:space="preserve">Chá da folha, 1 xícara ao dia</t>
  </si>
  <si>
    <t xml:space="preserve">Chá e suco, 2 xícaras/copos ao dia</t>
  </si>
  <si>
    <t xml:space="preserve">A ficha registra "chá usado através da infusão, infuso por cerca de 10 minutos e podendo ser consumido até três vezes ao dia (Magalhães et al., 2021)". Atenção: as opções C e D são preparos reais, mas da Amora e do Boldo.</t>
  </si>
  <si>
    <t xml:space="preserve">Dados sobre o uso: "Chá usado através da infusão, infuso por cerca de 10 minutos e podendo ser consumido até três vezes ao dia (Magalhães et al., 2021)".</t>
  </si>
  <si>
    <t xml:space="preserve">O que a curadoria registra nos campos de composição fitoquímica e contraindicações da Cuia-mansa?</t>
  </si>
  <si>
    <t xml:space="preserve">Que não há contraindicações conhecidas</t>
  </si>
  <si>
    <t xml:space="preserve">Que há escassez de material científico sobre ambos</t>
  </si>
  <si>
    <t xml:space="preserve">Que é contraindicada apenas para gestantes</t>
  </si>
  <si>
    <t xml:space="preserve">Que é segura por não conter princípios ativos</t>
  </si>
  <si>
    <t xml:space="preserve">Os dois campos trazem "Escassez de material" — a Cuia-mansa é a espécie com menor cobertura científica do catálogo. Isso não significa segurança: significa que não há dados para afirmar nem risco nem inocuidade, o que pede cautela redobrada.</t>
  </si>
  <si>
    <t xml:space="preserve">Composição fitoquímica: "Escassez de material." / Contra indicações: "Escassez de material."</t>
  </si>
  <si>
    <t xml:space="preserve">Além das sementes, de que outra forma a Cuia-mansa se propaga, segundo a descrição morfológica?</t>
  </si>
  <si>
    <t xml:space="preserve">Por estacas produzidas a partir dos ramos</t>
  </si>
  <si>
    <t xml:space="preserve">Por rizomas dos quais emergem novas plantas</t>
  </si>
  <si>
    <t xml:space="preserve">Quando os nós do caule tocam o solo e criam novas raízes</t>
  </si>
  <si>
    <t xml:space="preserve">Por brotações eretas que se curvam e se enraízam</t>
  </si>
  <si>
    <t xml:space="preserve">A propagação ocorre principalmente por sementes, mas a planta também se alastra quando os nós do caule entram em contato com o solo e criam novas raízes (Flora Digital UFSC). As opções A, B e D descrevem, respectivamente, o Malvarisco, a Hortelã pimenta e a Cidreira.</t>
  </si>
  <si>
    <t xml:space="preserve">Características morfológicas: "propagação ocorre principalmente por sementes, mas também se alastra quando os nós do caule entram em contato com o solo e criam novas raízes" (Flora Digital UFSC, Daniel Gracel).</t>
  </si>
  <si>
    <t xml:space="preserve">Capim santo</t>
  </si>
  <si>
    <t xml:space="preserve">Cymbopogon citratus (DC.) Stapf.</t>
  </si>
  <si>
    <t xml:space="preserve">Qual é o uso do Capim santo (Cymbopogon citratus) com maior número de fontes na curadoria?</t>
  </si>
  <si>
    <t xml:space="preserve">Efeito cicatrizante</t>
  </si>
  <si>
    <t xml:space="preserve">Tratamento de gastrite</t>
  </si>
  <si>
    <t xml:space="preserve">Calmante aparece em três fontes (Amador e Lucas, 2025; Veras, 2025; Maciel et al., 2025), acompanhado de insônia e distúrbios nervosos. A ficha ainda registra um uso incomum no catálogo: fortalecer cabelos.</t>
  </si>
  <si>
    <t xml:space="preserve">Uso popular na literatura: "Calmante (Amador e Lucas, 2025; Veras, 2025; Maciel et al., 2025)".</t>
  </si>
  <si>
    <t xml:space="preserve">Além do chá, que outra forma de uso das folhas do Capim santo a curadoria registra?</t>
  </si>
  <si>
    <t xml:space="preserve">Banho das folhas, de forma cutânea</t>
  </si>
  <si>
    <t xml:space="preserve">Compressa sobre o abdômen</t>
  </si>
  <si>
    <t xml:space="preserve">Inalação do vapor</t>
  </si>
  <si>
    <t xml:space="preserve">Tintura da folha seca</t>
  </si>
  <si>
    <t xml:space="preserve">A ficha registra "chá das folhas, banho das folhas forma cutânea (Amador e Lucas, 2025)", além de decocção e infusão (Veras, 2025). Compressa é preparo registrado para a Corama.</t>
  </si>
  <si>
    <t xml:space="preserve">Dados sobre o uso: "Chá das folhas, banho das folhas forma cutânea (Amador e Lucas, 2025)".</t>
  </si>
  <si>
    <t xml:space="preserve">O Capim santo tem uma restrição de idade que é única entre as 15 espécies do catálogo. Qual é ela?</t>
  </si>
  <si>
    <t xml:space="preserve">Desaconselhado para menores de 6 anos</t>
  </si>
  <si>
    <t xml:space="preserve">Não recomendado para menores de 4 anos</t>
  </si>
  <si>
    <t xml:space="preserve">Contraindicado para menores de 18 anos</t>
  </si>
  <si>
    <t xml:space="preserve">Contraindicado para maiores de 65 anos</t>
  </si>
  <si>
    <t xml:space="preserve">Contraindicado na gestação, lactação e para menores de 18 anos, por falta de dados adequados de segurança (Royo, Damasceno e Veloso, 2023). As opções A e B são restrições reais, mas do Boldinho japonês e da Hortelã pimenta.</t>
  </si>
  <si>
    <t xml:space="preserve">Contra indicações: "O uso é contraindicado durante a gestação, lactação e para menores de 18 anos, devido à falta de dados adequados que comprovem a segurança nessas situações (Royo, Damasceno e Veloso, 2023)".</t>
  </si>
  <si>
    <t xml:space="preserve">O que a descrição morfológica registra sobre o florescimento do Capim santo?</t>
  </si>
  <si>
    <t xml:space="preserve">Ocorre no final do inverno, com flores brancas e pequenas</t>
  </si>
  <si>
    <t xml:space="preserve">É raro, e as flores eventualmente formadas são estéreis</t>
  </si>
  <si>
    <t xml:space="preserve">Ocorre o ano todo, com flores azuis-arroxeadas</t>
  </si>
  <si>
    <t xml:space="preserve">Produz flores campanuladas róseas em panículas terminais</t>
  </si>
  <si>
    <t xml:space="preserve">O florescimento é raro e as flores eventualmente formadas são estéreis (Fitoterapia Brasil) — por isso a propagação se dá pelos rizomas. As demais descrevem a Amora, a Cidreira e o Crajiru.</t>
  </si>
  <si>
    <t xml:space="preserve">Características morfológicas: "florescimento é raro; flores, eventualmente formadas, são estéreis" (Fitoterapia Brasil).</t>
  </si>
  <si>
    <t xml:space="preserve">Cumaru</t>
  </si>
  <si>
    <t xml:space="preserve">Dipteryx odorata</t>
  </si>
  <si>
    <t xml:space="preserve">Quais queixas respiratórias aparecem entre os usos populares do Cumaru (Dipteryx odorata)?</t>
  </si>
  <si>
    <t xml:space="preserve">Sinusite e resfriado</t>
  </si>
  <si>
    <t xml:space="preserve">Congestão nasal e rouquidão</t>
  </si>
  <si>
    <t xml:space="preserve">Pneumonia e tuberculose</t>
  </si>
  <si>
    <t xml:space="preserve">A ficha registra tosse, bronquite e asma (Martins et al., 2021), junto de ação antiespasmódica, tônica, anti-inflamatória, antimicrobiana e para reumatismos e dores abdominais. Sinusite e resfriado são usos do Malvarisco.</t>
  </si>
  <si>
    <t xml:space="preserve">Uso popular na literatura: "Antiespasmódico, tônico, anti-inflamatório, reumatismos, antimicrobiano, dores abdominais, tosse, bronquite e asma (Martins et al., 2021)".</t>
  </si>
  <si>
    <t xml:space="preserve">O campo "Dados sobre o uso" da ficha do Cumaru descreve, na verdade, a composição de qual parte da planta?</t>
  </si>
  <si>
    <t xml:space="preserve">Da folha seca</t>
  </si>
  <si>
    <t xml:space="preserve">Do óleo</t>
  </si>
  <si>
    <t xml:space="preserve">Da casca raspada</t>
  </si>
  <si>
    <t xml:space="preserve">Da raiz em decocção</t>
  </si>
  <si>
    <t xml:space="preserve">A ficha descreve o óleo do cumaru, com ácidos graxos de cadeia longa como linoleico, palmítico, ortocumárico e esteárico (Martins et al., 2021). LACUNA CONHECIDA: é a única das 15 espécies cujo campo de uso não descreve um modo de preparo — a ser complementado com a autora.</t>
  </si>
  <si>
    <t xml:space="preserve">Dados sobre o uso: "O óleo do cumaru possui ácidos graxos de cadeia longa como o ácido linoleico, ácido palmítico, ácido ortocumárico, ácido esteárico entre outros componentes químicos (Martins et al., 2021)".</t>
  </si>
  <si>
    <t xml:space="preserve">A curadoria afirma que o Cumaru não é tóxico. Que ressalva ela faz em seguida?</t>
  </si>
  <si>
    <t xml:space="preserve">Que ainda assim se infere contraindicação na gestação e lactação</t>
  </si>
  <si>
    <t xml:space="preserve">Que o uso é liberado para todos os grupos</t>
  </si>
  <si>
    <t xml:space="preserve">Que só pode ser usado sob supervisão médica</t>
  </si>
  <si>
    <t xml:space="preserve">Que não deve ser usado por menores de 18 anos</t>
  </si>
  <si>
    <t xml:space="preserve">A ficha registra: não é tóxico (Melo et al., 2014), porém infere-se contraindicação durante a gestação e a lactação. Repare que a curadoria usa "infere-se" — é uma inferência de cautela, não um achado direto da literatura.</t>
  </si>
  <si>
    <t xml:space="preserve">Contra indicações: "Não é tóxico (Melo et al., 2014), porém, ainda sim, infere-se que é contraindicado durante a gestação e lactação".</t>
  </si>
  <si>
    <t xml:space="preserve">A que família botânica pertence o Cumaru (Dipteryx odorata)?</t>
  </si>
  <si>
    <t xml:space="preserve">Costaceae</t>
  </si>
  <si>
    <t xml:space="preserve">Bignoniaceae</t>
  </si>
  <si>
    <t xml:space="preserve">Crassulaceae</t>
  </si>
  <si>
    <t xml:space="preserve">Fabaceae</t>
  </si>
  <si>
    <t xml:space="preserve">Fabaceae (Souza e Lorenzi, 2019), a família das leguminosas. Costaceae é a do Pobre-velho, Bignoniaceae a do Crajiru e Crassulaceae a da Corama.</t>
  </si>
  <si>
    <t xml:space="preserve">Família: "Fabaceae (Souza e Lorenzi, 2019)".</t>
  </si>
  <si>
    <t xml:space="preserve">Boldinho japonês</t>
  </si>
  <si>
    <t xml:space="preserve">Mentha arvensis</t>
  </si>
  <si>
    <t xml:space="preserve">Quais usos a curadoria registra para o Boldinho japonês (Mentha arvensis)?</t>
  </si>
  <si>
    <t xml:space="preserve">Problemas estomacais, náuseas e vômitos</t>
  </si>
  <si>
    <t xml:space="preserve">A ficha registra problemas estomacais e vômitos (Assis et al., 2022), além de uso como descongestionante nasal, na eliminação de gases e como sedativo do estômago, contra náuseas e vômitos (Infoteca Embrapa).</t>
  </si>
  <si>
    <t xml:space="preserve">Uso popular na literatura: "Problemas estomacais e vômitos (Assis et al., 2022); descongestionante nasal, na eliminação de gases do aparelho digestivo ou como sedativo do estômago, contra náuseas e vômitos (Infoteca Embrapa)".</t>
  </si>
  <si>
    <t xml:space="preserve">Segundo a curadoria, de quais formas as folhas do Boldinho japonês podem ser usadas?</t>
  </si>
  <si>
    <t xml:space="preserve">Somente frescas, em infusão rápida</t>
  </si>
  <si>
    <t xml:space="preserve">Frescas ou secas, em chá, tintura ou como inalante</t>
  </si>
  <si>
    <t xml:space="preserve">Apenas em banho cutâneo</t>
  </si>
  <si>
    <t xml:space="preserve">Apenas em compressa e sumo</t>
  </si>
  <si>
    <t xml:space="preserve">A ficha registra que as folhas podem ser usadas frescas, secas, na forma de chá, tintura ou como inalante (Assis et al., 2022) — é a única espécie do catálogo com o uso como inalante registrado.</t>
  </si>
  <si>
    <t xml:space="preserve">Dados sobre o uso: "As folhas podem ser usadas frescas, secas, na forma de chá, tintura ou como inalante" (Assis et al., 2022).</t>
  </si>
  <si>
    <t xml:space="preserve">Qual substância presente no Boldinho japonês motiva a contraindicação na gestação e lactação?</t>
  </si>
  <si>
    <t xml:space="preserve">O citral</t>
  </si>
  <si>
    <t xml:space="preserve">A cânfora</t>
  </si>
  <si>
    <t xml:space="preserve">O mentol</t>
  </si>
  <si>
    <t xml:space="preserve">A β-ecdisona</t>
  </si>
  <si>
    <t xml:space="preserve">A ficha atribui a contraindicação ao mentol, e desaconselha o uso para menores de 6 anos. O óleo essencial é rico em levomentol (65-75%) e mentol. Citral é o componente principal do Capim santo; cânfora aparece no Malvarisco; β-ecdisona, na Terramicina.</t>
  </si>
  <si>
    <t xml:space="preserve">Contra indicações: "Devido ao mentol, é contraindicado durante a gestação e lactação. E desaconselhado para menores de 6 anos".</t>
  </si>
  <si>
    <t xml:space="preserve">Segundo a composição fitoquímica registrada, qual é o teor de levomentol no óleo essencial do Boldinho japonês?</t>
  </si>
  <si>
    <t xml:space="preserve">10 a 20%</t>
  </si>
  <si>
    <t xml:space="preserve">30 a 40%</t>
  </si>
  <si>
    <t xml:space="preserve">65 a 75%</t>
  </si>
  <si>
    <t xml:space="preserve">90 a 100%</t>
  </si>
  <si>
    <t xml:space="preserve">O óleo essencial é rico em levomentol (65-75%), substância responsável pelo cheiro da planta e por seu princípio ativo (Infoteca Embrapa).</t>
  </si>
  <si>
    <t xml:space="preserve">evidencias</t>
  </si>
  <si>
    <t xml:space="preserve">Composição fitoquímica: "Contém óleo essencial rico em levomentol (65-75%), mentol (70%), substância responsável pelo cheiro da planta e por seu princípio ativo" (Infoteca Embrapa).</t>
  </si>
  <si>
    <t xml:space="preserve">Malvarisco</t>
  </si>
  <si>
    <t xml:space="preserve">Plectranthus amboinicus Lour.</t>
  </si>
  <si>
    <t xml:space="preserve">Quais queixas das vias respiratórias aparecem entre os usos do Malvarisco (Plectranthus amboinicus Lour.)?</t>
  </si>
  <si>
    <t xml:space="preserve">Gripe, resfriado e sinusite</t>
  </si>
  <si>
    <t xml:space="preserve">Bronquite, asma e reumatismo</t>
  </si>
  <si>
    <t xml:space="preserve">Tosse seca e rouquidão</t>
  </si>
  <si>
    <t xml:space="preserve">Pneumonia e catarro</t>
  </si>
  <si>
    <t xml:space="preserve">A ficha registra gripe, resfriado e sinusite (Veras, 2025), junto de vários usos digestivos e calmantes. Bronquite e asma são usos do Cumaru e do Boldo; catarro, do Pobre-velho.</t>
  </si>
  <si>
    <t xml:space="preserve">Uso popular na literatura: "...antioxidante, gripe, resfriado e sinusite (Veras, 2025)".</t>
  </si>
  <si>
    <t xml:space="preserve">Qual é o preparo e a dose diária do Malvarisco registrados na curadoria?</t>
  </si>
  <si>
    <t xml:space="preserve">Infusão da folha, até três vezes ao dia</t>
  </si>
  <si>
    <t xml:space="preserve">Chá da folha, 2 xícaras ao dia</t>
  </si>
  <si>
    <t xml:space="preserve">Banho das folhas, uma vez ao dia</t>
  </si>
  <si>
    <t xml:space="preserve">A ficha registra "folha utilizada para chá, 2 xícaras ao dia (Veras, 2025)" — mesma dose registrada para a Corama e o Boldo.</t>
  </si>
  <si>
    <t xml:space="preserve">Dados sobre o uso: "Folha utilizada para chá, 2 xícaras ao dia (Veras, 2025)".</t>
  </si>
  <si>
    <t xml:space="preserve">Além da contraindicação para gestantes, que precaução específica a curadoria recomenda no uso do Malvarisco?</t>
  </si>
  <si>
    <t xml:space="preserve">Evitar exposição ao sol após o uso</t>
  </si>
  <si>
    <t xml:space="preserve">Não usar junto de alimentos gordurosos</t>
  </si>
  <si>
    <t xml:space="preserve">Cautela ao administrar junto com antimicrobianos, pelo risco de interferência no efeito terapêutico</t>
  </si>
  <si>
    <t xml:space="preserve">Suspender o uso em caso de pressão alta</t>
  </si>
  <si>
    <t xml:space="preserve">A ficha alerta que a planta mostrou atividade sinérgica com alguns antifúngicos, mas antagônica com outros antimicrobianos — daí a recomendação de precaução no uso conjunto. Gestantes não podem ingerir: pode ser abortivo e causar má formação (Veras, 2025).</t>
  </si>
  <si>
    <t xml:space="preserve">Contra indicações: "Recomenda-se, portanto, precaução na administração da planta conjuntamente com esses medicamentos, podendo interferir nos efeitos terapêuticos desejados" (Horto Didático UFSC).</t>
  </si>
  <si>
    <t xml:space="preserve">O que diferencia o Malvarisco das outras espécies de Plectranthus conhecidas como "boldos" (P. barbatus e P. ornatus)?</t>
  </si>
  <si>
    <t xml:space="preserve">Ter folhas maiores e não aromáticas</t>
  </si>
  <si>
    <t xml:space="preserve">Não ter o sabor amargo característico dessas plantas</t>
  </si>
  <si>
    <t xml:space="preserve">Ter flores amarelas em vez de azuladas</t>
  </si>
  <si>
    <t xml:space="preserve">Ser a única do gênero que se propaga por sementes</t>
  </si>
  <si>
    <t xml:space="preserve">A ficha destaca que o Malvarisco se diferencia de P. barbatus e P. ornatus por não ter o sabor amargo característico dessas duas plantas (Horto Didático UFSC). A propagação do Malvarisco, aliás, é feita por estacas dos ramos.</t>
  </si>
  <si>
    <t xml:space="preserve">Características morfológicas: "Esta espécie diferencia-se das outras do gênero Plectranthus (P. barbatus e P. ornatus), conhecidas popularmente como boldos, por não ter o sabor amargo característico dessas duas outras plantas" (Horto Didático UFSC).</t>
  </si>
  <si>
    <t xml:space="preserve">GERMINA — Validação do banco de perguntas do Desafio Diário</t>
  </si>
  <si>
    <t xml:space="preserve">Curadoria fonte: Sarah Batista de Freitas, PPGCTS/ICET/UFAM, Bolsista FAPEAM, Itacoatiara/AM, 2025.</t>
  </si>
  <si>
    <t xml:space="preserve">Toda pergunta é ancorada em um campo nomeado da ficha da espécie. Nenhuma afirmação vem de fora da curadoria.</t>
  </si>
  <si>
    <t xml:space="preserve">Cobertura</t>
  </si>
  <si>
    <t xml:space="preserve">Total de perguntas</t>
  </si>
  <si>
    <t xml:space="preserve">Espécies cobertas</t>
  </si>
  <si>
    <t xml:space="preserve">Perguntas por eixo</t>
  </si>
  <si>
    <t xml:space="preserve">Campo "Uso popular na literatura" da ficha.</t>
  </si>
  <si>
    <t xml:space="preserve">Campo "Dados sobre o uso" da ficha.</t>
  </si>
  <si>
    <t xml:space="preserve">Campo "Contra indicações" + diretriz ANVISA (2010) da abertura da curadoria. Eixo criado nesta rodada.</t>
  </si>
  <si>
    <t xml:space="preserve">Campos "Características morfológicas", Família e Composição fitoquímica.</t>
  </si>
  <si>
    <t xml:space="preserve">Andamento da avaliação</t>
  </si>
  <si>
    <t xml:space="preserve">Aprovado</t>
  </si>
  <si>
    <t xml:space="preserve">Aprovado com ajuste</t>
  </si>
  <si>
    <t xml:space="preserve">Reprovado</t>
  </si>
  <si>
    <t xml:space="preserve">Ainda sem parecer</t>
  </si>
  <si>
    <t xml:space="preserve">Como preencher</t>
  </si>
  <si>
    <t xml:space="preserve">1.</t>
  </si>
  <si>
    <t xml:space="preserve">Na aba "Perguntas", as colunas amarelas (Parecer e Observações) são as únicas a preencher.</t>
  </si>
  <si>
    <t xml:space="preserve">2.</t>
  </si>
  <si>
    <t xml:space="preserve">Confira a coluna "Citação na curadoria": ela indica o trecho exato da ficha que sustenta o gabarito.</t>
  </si>
  <si>
    <t xml:space="preserve">3.</t>
  </si>
  <si>
    <t xml:space="preserve">A alternativa correta aparece destacada em verde na sua própria coluna.</t>
  </si>
  <si>
    <t xml:space="preserve">4.</t>
  </si>
  <si>
    <t xml:space="preserve">Use o filtro do cabeçalho para revisar por planta ou por eixo.</t>
  </si>
  <si>
    <t xml:space="preserve">Pendências que dependem da autora</t>
  </si>
  <si>
    <t xml:space="preserve">Cumaru — preparo</t>
  </si>
  <si>
    <t xml:space="preserve">O campo "Dados sobre o uso" descreve a composição do óleo, não um modo de preparo. Única das 15 nessa situação.</t>
  </si>
  <si>
    <t xml:space="preserve">"Escassez de material" em composição fitoquímica e em contraindicações.</t>
  </si>
  <si>
    <t xml:space="preserve">Tabela da p.1 grafa "Mentha alverensis"; a ficha grafa "Mentha arvensis". Qual prevalece?</t>
  </si>
  <si>
    <t xml:space="preserve">Cidreira — foto</t>
  </si>
  <si>
    <t xml:space="preserve">O link de "Fotos — Fonte" aponta para a página da Terramicina.</t>
  </si>
  <si>
    <t xml:space="preserve">Eixo ODS</t>
  </si>
  <si>
    <t xml:space="preserve">As 3 perguntas antigas de ODS ficaram fora do banco (fonte é o PROMPT, não a curadoria). Descartar, reintegrar ou reescrever?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</si>
</sst>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E6B3E"/>
      <name val="Arial"/>
      <family val="0"/>
      <charset val="1"/>
    </font>
    <font>
      <b val="true"/>
      <sz val="10"/>
      <color rgb="FF2E6B3E"/>
      <name val="Arial"/>
      <family val="0"/>
      <charset val="1"/>
    </font>
    <font>
      <b val="true"/>
      <sz val="12"/>
      <color rgb="FF2E6B3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6B3E"/>
        <bgColor rgb="FF008080"/>
      </patternFill>
    </fill>
    <fill>
      <patternFill patternType="solid">
        <fgColor rgb="FFF2F5F2"/>
        <bgColor rgb="FFFFFFFF"/>
      </patternFill>
    </fill>
    <fill>
      <patternFill patternType="solid">
        <fgColor rgb="FFFFF2CC"/>
        <bgColor rgb="FFF2F5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6B3E"/>
          <bgColor rgb="FF000000"/>
        </patternFill>
      </fill>
    </dxf>
    <dxf>
      <fill>
        <patternFill patternType="solid">
          <fgColor rgb="FFF2F5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5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52"/>
    <col collapsed="false" customWidth="true" hidden="false" outlineLevel="0" max="11" min="8" style="0" width="34"/>
    <col collapsed="false" customWidth="true" hidden="false" outlineLevel="0" max="12" min="12" style="0" width="9"/>
    <col collapsed="false" customWidth="true" hidden="false" outlineLevel="0" max="13" min="13" style="0" width="52"/>
    <col collapsed="false" customWidth="true" hidden="false" outlineLevel="0" max="14" min="14" style="0" width="17"/>
    <col collapsed="false" customWidth="true" hidden="false" outlineLevel="0" max="15" min="15" style="0" width="56"/>
    <col collapsed="false" customWidth="true" hidden="false" outlineLevel="0" max="16" min="16" style="0" width="20"/>
    <col collapsed="false" customWidth="true" hidden="false" outlineLevel="0" max="17" min="17" style="0" width="4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78" hidden="false" customHeight="true" outlineLevel="0" collapsed="false">
      <c r="A2" s="2" t="n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 t="s">
        <v>23</v>
      </c>
      <c r="I2" s="2" t="s">
        <v>24</v>
      </c>
      <c r="J2" s="2" t="s">
        <v>25</v>
      </c>
      <c r="K2" s="2" t="s">
        <v>26</v>
      </c>
      <c r="L2" s="4" t="s">
        <v>7</v>
      </c>
      <c r="M2" s="2" t="s">
        <v>27</v>
      </c>
      <c r="N2" s="2" t="s">
        <v>28</v>
      </c>
      <c r="O2" s="2" t="s">
        <v>29</v>
      </c>
      <c r="P2" s="5"/>
      <c r="Q2" s="5"/>
    </row>
    <row r="3" customFormat="false" ht="78" hidden="false" customHeight="true" outlineLevel="0" collapsed="false">
      <c r="A3" s="6" t="n">
        <v>2</v>
      </c>
      <c r="B3" s="6" t="s">
        <v>17</v>
      </c>
      <c r="C3" s="6" t="s">
        <v>18</v>
      </c>
      <c r="D3" s="6" t="s">
        <v>19</v>
      </c>
      <c r="E3" s="6" t="s">
        <v>30</v>
      </c>
      <c r="F3" s="6" t="s">
        <v>31</v>
      </c>
      <c r="G3" s="6" t="s">
        <v>32</v>
      </c>
      <c r="H3" s="7" t="s">
        <v>33</v>
      </c>
      <c r="I3" s="6" t="s">
        <v>34</v>
      </c>
      <c r="J3" s="6" t="s">
        <v>35</v>
      </c>
      <c r="K3" s="6" t="s">
        <v>36</v>
      </c>
      <c r="L3" s="8" t="s">
        <v>7</v>
      </c>
      <c r="M3" s="6" t="s">
        <v>37</v>
      </c>
      <c r="N3" s="6" t="s">
        <v>38</v>
      </c>
      <c r="O3" s="6" t="s">
        <v>39</v>
      </c>
      <c r="P3" s="5"/>
      <c r="Q3" s="5"/>
    </row>
    <row r="4" customFormat="false" ht="78" hidden="false" customHeight="true" outlineLevel="0" collapsed="false">
      <c r="A4" s="2" t="n">
        <v>3</v>
      </c>
      <c r="B4" s="2" t="s">
        <v>17</v>
      </c>
      <c r="C4" s="2" t="s">
        <v>18</v>
      </c>
      <c r="D4" s="2" t="s">
        <v>19</v>
      </c>
      <c r="E4" s="2" t="s">
        <v>40</v>
      </c>
      <c r="F4" s="2" t="s">
        <v>31</v>
      </c>
      <c r="G4" s="2" t="s">
        <v>41</v>
      </c>
      <c r="H4" s="2" t="s">
        <v>42</v>
      </c>
      <c r="I4" s="3" t="s">
        <v>43</v>
      </c>
      <c r="J4" s="2" t="s">
        <v>44</v>
      </c>
      <c r="K4" s="2" t="s">
        <v>45</v>
      </c>
      <c r="L4" s="4" t="s">
        <v>8</v>
      </c>
      <c r="M4" s="2" t="s">
        <v>46</v>
      </c>
      <c r="N4" s="2" t="s">
        <v>47</v>
      </c>
      <c r="O4" s="2" t="s">
        <v>48</v>
      </c>
      <c r="P4" s="5"/>
      <c r="Q4" s="5"/>
    </row>
    <row r="5" customFormat="false" ht="78" hidden="false" customHeight="true" outlineLevel="0" collapsed="false">
      <c r="A5" s="6" t="n">
        <v>4</v>
      </c>
      <c r="B5" s="6" t="s">
        <v>17</v>
      </c>
      <c r="C5" s="6" t="s">
        <v>18</v>
      </c>
      <c r="D5" s="6" t="s">
        <v>19</v>
      </c>
      <c r="E5" s="6" t="s">
        <v>49</v>
      </c>
      <c r="F5" s="6" t="s">
        <v>50</v>
      </c>
      <c r="G5" s="6" t="s">
        <v>51</v>
      </c>
      <c r="H5" s="6" t="s">
        <v>52</v>
      </c>
      <c r="I5" s="6" t="s">
        <v>53</v>
      </c>
      <c r="J5" s="7" t="s">
        <v>54</v>
      </c>
      <c r="K5" s="6" t="s">
        <v>55</v>
      </c>
      <c r="L5" s="8" t="s">
        <v>9</v>
      </c>
      <c r="M5" s="6" t="s">
        <v>56</v>
      </c>
      <c r="N5" s="6" t="s">
        <v>57</v>
      </c>
      <c r="O5" s="6" t="s">
        <v>58</v>
      </c>
      <c r="P5" s="5"/>
      <c r="Q5" s="5"/>
    </row>
    <row r="6" customFormat="false" ht="78" hidden="false" customHeight="true" outlineLevel="0" collapsed="false">
      <c r="A6" s="2" t="n">
        <v>5</v>
      </c>
      <c r="B6" s="2" t="s">
        <v>59</v>
      </c>
      <c r="C6" s="2" t="s">
        <v>60</v>
      </c>
      <c r="D6" s="2" t="s">
        <v>19</v>
      </c>
      <c r="E6" s="2" t="s">
        <v>20</v>
      </c>
      <c r="F6" s="2" t="s">
        <v>21</v>
      </c>
      <c r="G6" s="2" t="s">
        <v>61</v>
      </c>
      <c r="H6" s="2" t="s">
        <v>62</v>
      </c>
      <c r="I6" s="3" t="s">
        <v>63</v>
      </c>
      <c r="J6" s="2" t="s">
        <v>64</v>
      </c>
      <c r="K6" s="2" t="s">
        <v>65</v>
      </c>
      <c r="L6" s="4" t="s">
        <v>8</v>
      </c>
      <c r="M6" s="2" t="s">
        <v>66</v>
      </c>
      <c r="N6" s="2" t="s">
        <v>28</v>
      </c>
      <c r="O6" s="2" t="s">
        <v>67</v>
      </c>
      <c r="P6" s="5"/>
      <c r="Q6" s="5"/>
    </row>
    <row r="7" customFormat="false" ht="78" hidden="false" customHeight="true" outlineLevel="0" collapsed="false">
      <c r="A7" s="6" t="n">
        <v>6</v>
      </c>
      <c r="B7" s="6" t="s">
        <v>59</v>
      </c>
      <c r="C7" s="6" t="s">
        <v>60</v>
      </c>
      <c r="D7" s="6" t="s">
        <v>19</v>
      </c>
      <c r="E7" s="6" t="s">
        <v>30</v>
      </c>
      <c r="F7" s="6" t="s">
        <v>31</v>
      </c>
      <c r="G7" s="6" t="s">
        <v>68</v>
      </c>
      <c r="H7" s="6" t="s">
        <v>69</v>
      </c>
      <c r="I7" s="6" t="s">
        <v>70</v>
      </c>
      <c r="J7" s="7" t="s">
        <v>71</v>
      </c>
      <c r="K7" s="6" t="s">
        <v>72</v>
      </c>
      <c r="L7" s="8" t="s">
        <v>9</v>
      </c>
      <c r="M7" s="6" t="s">
        <v>73</v>
      </c>
      <c r="N7" s="6" t="s">
        <v>38</v>
      </c>
      <c r="O7" s="6" t="s">
        <v>74</v>
      </c>
      <c r="P7" s="5"/>
      <c r="Q7" s="5"/>
    </row>
    <row r="8" customFormat="false" ht="78" hidden="false" customHeight="true" outlineLevel="0" collapsed="false">
      <c r="A8" s="2" t="n">
        <v>7</v>
      </c>
      <c r="B8" s="2" t="s">
        <v>59</v>
      </c>
      <c r="C8" s="2" t="s">
        <v>60</v>
      </c>
      <c r="D8" s="2" t="s">
        <v>19</v>
      </c>
      <c r="E8" s="2" t="s">
        <v>40</v>
      </c>
      <c r="F8" s="2" t="s">
        <v>31</v>
      </c>
      <c r="G8" s="2" t="s">
        <v>75</v>
      </c>
      <c r="H8" s="2" t="s">
        <v>76</v>
      </c>
      <c r="I8" s="2" t="s">
        <v>77</v>
      </c>
      <c r="J8" s="3" t="s">
        <v>78</v>
      </c>
      <c r="K8" s="2" t="s">
        <v>79</v>
      </c>
      <c r="L8" s="4" t="s">
        <v>9</v>
      </c>
      <c r="M8" s="2" t="s">
        <v>80</v>
      </c>
      <c r="N8" s="2" t="s">
        <v>81</v>
      </c>
      <c r="O8" s="2" t="s">
        <v>82</v>
      </c>
      <c r="P8" s="5"/>
      <c r="Q8" s="5"/>
    </row>
    <row r="9" customFormat="false" ht="78" hidden="false" customHeight="true" outlineLevel="0" collapsed="false">
      <c r="A9" s="6" t="n">
        <v>8</v>
      </c>
      <c r="B9" s="6" t="s">
        <v>59</v>
      </c>
      <c r="C9" s="6" t="s">
        <v>60</v>
      </c>
      <c r="D9" s="6" t="s">
        <v>19</v>
      </c>
      <c r="E9" s="6" t="s">
        <v>49</v>
      </c>
      <c r="F9" s="6" t="s">
        <v>50</v>
      </c>
      <c r="G9" s="6" t="s">
        <v>83</v>
      </c>
      <c r="H9" s="7" t="s">
        <v>84</v>
      </c>
      <c r="I9" s="6" t="s">
        <v>85</v>
      </c>
      <c r="J9" s="6" t="s">
        <v>86</v>
      </c>
      <c r="K9" s="6" t="s">
        <v>87</v>
      </c>
      <c r="L9" s="8" t="s">
        <v>7</v>
      </c>
      <c r="M9" s="6" t="s">
        <v>88</v>
      </c>
      <c r="N9" s="6" t="s">
        <v>89</v>
      </c>
      <c r="O9" s="6" t="s">
        <v>90</v>
      </c>
      <c r="P9" s="5"/>
      <c r="Q9" s="5"/>
    </row>
    <row r="10" customFormat="false" ht="78" hidden="false" customHeight="true" outlineLevel="0" collapsed="false">
      <c r="A10" s="2" t="n">
        <v>9</v>
      </c>
      <c r="B10" s="2" t="s">
        <v>91</v>
      </c>
      <c r="C10" s="2" t="s">
        <v>92</v>
      </c>
      <c r="D10" s="2" t="s">
        <v>19</v>
      </c>
      <c r="E10" s="2" t="s">
        <v>20</v>
      </c>
      <c r="F10" s="2" t="s">
        <v>21</v>
      </c>
      <c r="G10" s="2" t="s">
        <v>93</v>
      </c>
      <c r="H10" s="2" t="s">
        <v>94</v>
      </c>
      <c r="I10" s="3" t="s">
        <v>95</v>
      </c>
      <c r="J10" s="2" t="s">
        <v>96</v>
      </c>
      <c r="K10" s="2" t="s">
        <v>97</v>
      </c>
      <c r="L10" s="4" t="s">
        <v>8</v>
      </c>
      <c r="M10" s="2" t="s">
        <v>98</v>
      </c>
      <c r="N10" s="2" t="s">
        <v>28</v>
      </c>
      <c r="O10" s="2" t="s">
        <v>99</v>
      </c>
      <c r="P10" s="5"/>
      <c r="Q10" s="5"/>
    </row>
    <row r="11" customFormat="false" ht="78" hidden="false" customHeight="true" outlineLevel="0" collapsed="false">
      <c r="A11" s="6" t="n">
        <v>10</v>
      </c>
      <c r="B11" s="6" t="s">
        <v>91</v>
      </c>
      <c r="C11" s="6" t="s">
        <v>92</v>
      </c>
      <c r="D11" s="6" t="s">
        <v>19</v>
      </c>
      <c r="E11" s="6" t="s">
        <v>30</v>
      </c>
      <c r="F11" s="6" t="s">
        <v>31</v>
      </c>
      <c r="G11" s="6" t="s">
        <v>100</v>
      </c>
      <c r="H11" s="6" t="s">
        <v>101</v>
      </c>
      <c r="I11" s="7" t="s">
        <v>102</v>
      </c>
      <c r="J11" s="6" t="s">
        <v>103</v>
      </c>
      <c r="K11" s="6" t="s">
        <v>104</v>
      </c>
      <c r="L11" s="8" t="s">
        <v>8</v>
      </c>
      <c r="M11" s="6" t="s">
        <v>105</v>
      </c>
      <c r="N11" s="6" t="s">
        <v>38</v>
      </c>
      <c r="O11" s="6" t="s">
        <v>106</v>
      </c>
      <c r="P11" s="5"/>
      <c r="Q11" s="5"/>
    </row>
    <row r="12" customFormat="false" ht="78" hidden="false" customHeight="true" outlineLevel="0" collapsed="false">
      <c r="A12" s="2" t="n">
        <v>11</v>
      </c>
      <c r="B12" s="2" t="s">
        <v>91</v>
      </c>
      <c r="C12" s="2" t="s">
        <v>92</v>
      </c>
      <c r="D12" s="2" t="s">
        <v>19</v>
      </c>
      <c r="E12" s="2" t="s">
        <v>40</v>
      </c>
      <c r="F12" s="2" t="s">
        <v>31</v>
      </c>
      <c r="G12" s="2" t="s">
        <v>107</v>
      </c>
      <c r="H12" s="2" t="s">
        <v>108</v>
      </c>
      <c r="I12" s="2" t="s">
        <v>109</v>
      </c>
      <c r="J12" s="3" t="s">
        <v>110</v>
      </c>
      <c r="K12" s="2" t="s">
        <v>111</v>
      </c>
      <c r="L12" s="4" t="s">
        <v>9</v>
      </c>
      <c r="M12" s="2" t="s">
        <v>112</v>
      </c>
      <c r="N12" s="2" t="s">
        <v>47</v>
      </c>
      <c r="O12" s="2" t="s">
        <v>113</v>
      </c>
      <c r="P12" s="5"/>
      <c r="Q12" s="5"/>
    </row>
    <row r="13" customFormat="false" ht="78" hidden="false" customHeight="true" outlineLevel="0" collapsed="false">
      <c r="A13" s="6" t="n">
        <v>12</v>
      </c>
      <c r="B13" s="6" t="s">
        <v>91</v>
      </c>
      <c r="C13" s="6" t="s">
        <v>92</v>
      </c>
      <c r="D13" s="6" t="s">
        <v>19</v>
      </c>
      <c r="E13" s="6" t="s">
        <v>49</v>
      </c>
      <c r="F13" s="6" t="s">
        <v>50</v>
      </c>
      <c r="G13" s="6" t="s">
        <v>114</v>
      </c>
      <c r="H13" s="7" t="s">
        <v>115</v>
      </c>
      <c r="I13" s="6" t="s">
        <v>116</v>
      </c>
      <c r="J13" s="6" t="s">
        <v>117</v>
      </c>
      <c r="K13" s="6" t="s">
        <v>118</v>
      </c>
      <c r="L13" s="8" t="s">
        <v>7</v>
      </c>
      <c r="M13" s="6" t="s">
        <v>119</v>
      </c>
      <c r="N13" s="6" t="s">
        <v>89</v>
      </c>
      <c r="O13" s="6" t="s">
        <v>120</v>
      </c>
      <c r="P13" s="5"/>
      <c r="Q13" s="5"/>
    </row>
    <row r="14" customFormat="false" ht="78" hidden="false" customHeight="true" outlineLevel="0" collapsed="false">
      <c r="A14" s="2" t="n">
        <v>13</v>
      </c>
      <c r="B14" s="2" t="s">
        <v>121</v>
      </c>
      <c r="C14" s="2" t="s">
        <v>122</v>
      </c>
      <c r="D14" s="2" t="s">
        <v>19</v>
      </c>
      <c r="E14" s="2" t="s">
        <v>20</v>
      </c>
      <c r="F14" s="2" t="s">
        <v>21</v>
      </c>
      <c r="G14" s="2" t="s">
        <v>123</v>
      </c>
      <c r="H14" s="2" t="s">
        <v>124</v>
      </c>
      <c r="I14" s="3" t="s">
        <v>125</v>
      </c>
      <c r="J14" s="2" t="s">
        <v>126</v>
      </c>
      <c r="K14" s="2" t="s">
        <v>127</v>
      </c>
      <c r="L14" s="4" t="s">
        <v>8</v>
      </c>
      <c r="M14" s="2" t="s">
        <v>128</v>
      </c>
      <c r="N14" s="2" t="s">
        <v>28</v>
      </c>
      <c r="O14" s="2" t="s">
        <v>129</v>
      </c>
      <c r="P14" s="5"/>
      <c r="Q14" s="5"/>
    </row>
    <row r="15" customFormat="false" ht="78" hidden="false" customHeight="true" outlineLevel="0" collapsed="false">
      <c r="A15" s="6" t="n">
        <v>14</v>
      </c>
      <c r="B15" s="6" t="s">
        <v>121</v>
      </c>
      <c r="C15" s="6" t="s">
        <v>122</v>
      </c>
      <c r="D15" s="6" t="s">
        <v>19</v>
      </c>
      <c r="E15" s="6" t="s">
        <v>30</v>
      </c>
      <c r="F15" s="6" t="s">
        <v>31</v>
      </c>
      <c r="G15" s="6" t="s">
        <v>130</v>
      </c>
      <c r="H15" s="6" t="s">
        <v>33</v>
      </c>
      <c r="I15" s="7" t="s">
        <v>131</v>
      </c>
      <c r="J15" s="6" t="s">
        <v>35</v>
      </c>
      <c r="K15" s="6" t="s">
        <v>132</v>
      </c>
      <c r="L15" s="8" t="s">
        <v>8</v>
      </c>
      <c r="M15" s="6" t="s">
        <v>133</v>
      </c>
      <c r="N15" s="6" t="s">
        <v>38</v>
      </c>
      <c r="O15" s="6" t="s">
        <v>134</v>
      </c>
      <c r="P15" s="5"/>
      <c r="Q15" s="5"/>
    </row>
    <row r="16" customFormat="false" ht="78" hidden="false" customHeight="true" outlineLevel="0" collapsed="false">
      <c r="A16" s="2" t="n">
        <v>15</v>
      </c>
      <c r="B16" s="2" t="s">
        <v>121</v>
      </c>
      <c r="C16" s="2" t="s">
        <v>122</v>
      </c>
      <c r="D16" s="2" t="s">
        <v>19</v>
      </c>
      <c r="E16" s="2" t="s">
        <v>40</v>
      </c>
      <c r="F16" s="2" t="s">
        <v>31</v>
      </c>
      <c r="G16" s="2" t="s">
        <v>135</v>
      </c>
      <c r="H16" s="2" t="s">
        <v>136</v>
      </c>
      <c r="I16" s="2" t="s">
        <v>137</v>
      </c>
      <c r="J16" s="3" t="s">
        <v>138</v>
      </c>
      <c r="K16" s="2" t="s">
        <v>139</v>
      </c>
      <c r="L16" s="4" t="s">
        <v>9</v>
      </c>
      <c r="M16" s="2" t="s">
        <v>140</v>
      </c>
      <c r="N16" s="2" t="s">
        <v>47</v>
      </c>
      <c r="O16" s="2" t="s">
        <v>141</v>
      </c>
      <c r="P16" s="5"/>
      <c r="Q16" s="5"/>
    </row>
    <row r="17" customFormat="false" ht="78" hidden="false" customHeight="true" outlineLevel="0" collapsed="false">
      <c r="A17" s="6" t="n">
        <v>16</v>
      </c>
      <c r="B17" s="6" t="s">
        <v>121</v>
      </c>
      <c r="C17" s="6" t="s">
        <v>122</v>
      </c>
      <c r="D17" s="6" t="s">
        <v>19</v>
      </c>
      <c r="E17" s="6" t="s">
        <v>49</v>
      </c>
      <c r="F17" s="6" t="s">
        <v>50</v>
      </c>
      <c r="G17" s="6" t="s">
        <v>142</v>
      </c>
      <c r="H17" s="6" t="s">
        <v>143</v>
      </c>
      <c r="I17" s="7" t="s">
        <v>144</v>
      </c>
      <c r="J17" s="6" t="s">
        <v>145</v>
      </c>
      <c r="K17" s="6" t="s">
        <v>146</v>
      </c>
      <c r="L17" s="8" t="s">
        <v>8</v>
      </c>
      <c r="M17" s="6" t="s">
        <v>147</v>
      </c>
      <c r="N17" s="6" t="s">
        <v>89</v>
      </c>
      <c r="O17" s="6" t="s">
        <v>148</v>
      </c>
      <c r="P17" s="5"/>
      <c r="Q17" s="5"/>
    </row>
    <row r="18" customFormat="false" ht="78" hidden="false" customHeight="true" outlineLevel="0" collapsed="false">
      <c r="A18" s="2" t="n">
        <v>17</v>
      </c>
      <c r="B18" s="2" t="s">
        <v>149</v>
      </c>
      <c r="C18" s="2" t="s">
        <v>150</v>
      </c>
      <c r="D18" s="2" t="s">
        <v>19</v>
      </c>
      <c r="E18" s="2" t="s">
        <v>20</v>
      </c>
      <c r="F18" s="2" t="s">
        <v>21</v>
      </c>
      <c r="G18" s="2" t="s">
        <v>151</v>
      </c>
      <c r="H18" s="3" t="s">
        <v>152</v>
      </c>
      <c r="I18" s="2" t="s">
        <v>153</v>
      </c>
      <c r="J18" s="2" t="s">
        <v>154</v>
      </c>
      <c r="K18" s="2" t="s">
        <v>155</v>
      </c>
      <c r="L18" s="4" t="s">
        <v>7</v>
      </c>
      <c r="M18" s="2" t="s">
        <v>156</v>
      </c>
      <c r="N18" s="2" t="s">
        <v>28</v>
      </c>
      <c r="O18" s="2" t="s">
        <v>157</v>
      </c>
      <c r="P18" s="5"/>
      <c r="Q18" s="5"/>
    </row>
    <row r="19" customFormat="false" ht="78" hidden="false" customHeight="true" outlineLevel="0" collapsed="false">
      <c r="A19" s="6" t="n">
        <v>18</v>
      </c>
      <c r="B19" s="6" t="s">
        <v>149</v>
      </c>
      <c r="C19" s="6" t="s">
        <v>150</v>
      </c>
      <c r="D19" s="6" t="s">
        <v>19</v>
      </c>
      <c r="E19" s="6" t="s">
        <v>30</v>
      </c>
      <c r="F19" s="6" t="s">
        <v>31</v>
      </c>
      <c r="G19" s="6" t="s">
        <v>158</v>
      </c>
      <c r="H19" s="6" t="s">
        <v>159</v>
      </c>
      <c r="I19" s="7" t="s">
        <v>160</v>
      </c>
      <c r="J19" s="6" t="s">
        <v>161</v>
      </c>
      <c r="K19" s="6" t="s">
        <v>162</v>
      </c>
      <c r="L19" s="8" t="s">
        <v>8</v>
      </c>
      <c r="M19" s="6" t="s">
        <v>163</v>
      </c>
      <c r="N19" s="6" t="s">
        <v>38</v>
      </c>
      <c r="O19" s="6" t="s">
        <v>164</v>
      </c>
      <c r="P19" s="5"/>
      <c r="Q19" s="5"/>
    </row>
    <row r="20" customFormat="false" ht="78" hidden="false" customHeight="true" outlineLevel="0" collapsed="false">
      <c r="A20" s="2" t="n">
        <v>19</v>
      </c>
      <c r="B20" s="2" t="s">
        <v>149</v>
      </c>
      <c r="C20" s="2" t="s">
        <v>150</v>
      </c>
      <c r="D20" s="2" t="s">
        <v>19</v>
      </c>
      <c r="E20" s="2" t="s">
        <v>40</v>
      </c>
      <c r="F20" s="2" t="s">
        <v>31</v>
      </c>
      <c r="G20" s="2" t="s">
        <v>165</v>
      </c>
      <c r="H20" s="2" t="s">
        <v>166</v>
      </c>
      <c r="I20" s="2" t="s">
        <v>167</v>
      </c>
      <c r="J20" s="3" t="s">
        <v>168</v>
      </c>
      <c r="K20" s="2" t="s">
        <v>169</v>
      </c>
      <c r="L20" s="4" t="s">
        <v>9</v>
      </c>
      <c r="M20" s="2" t="s">
        <v>170</v>
      </c>
      <c r="N20" s="2" t="s">
        <v>47</v>
      </c>
      <c r="O20" s="2" t="s">
        <v>171</v>
      </c>
      <c r="P20" s="5"/>
      <c r="Q20" s="5"/>
    </row>
    <row r="21" customFormat="false" ht="78" hidden="false" customHeight="true" outlineLevel="0" collapsed="false">
      <c r="A21" s="6" t="n">
        <v>20</v>
      </c>
      <c r="B21" s="6" t="s">
        <v>149</v>
      </c>
      <c r="C21" s="6" t="s">
        <v>150</v>
      </c>
      <c r="D21" s="6" t="s">
        <v>19</v>
      </c>
      <c r="E21" s="6" t="s">
        <v>49</v>
      </c>
      <c r="F21" s="6" t="s">
        <v>50</v>
      </c>
      <c r="G21" s="6" t="s">
        <v>172</v>
      </c>
      <c r="H21" s="7" t="s">
        <v>173</v>
      </c>
      <c r="I21" s="6" t="s">
        <v>174</v>
      </c>
      <c r="J21" s="6" t="s">
        <v>175</v>
      </c>
      <c r="K21" s="6" t="s">
        <v>176</v>
      </c>
      <c r="L21" s="8" t="s">
        <v>7</v>
      </c>
      <c r="M21" s="6" t="s">
        <v>177</v>
      </c>
      <c r="N21" s="6" t="s">
        <v>89</v>
      </c>
      <c r="O21" s="6" t="s">
        <v>178</v>
      </c>
      <c r="P21" s="5"/>
      <c r="Q21" s="5"/>
    </row>
    <row r="22" customFormat="false" ht="78" hidden="false" customHeight="true" outlineLevel="0" collapsed="false">
      <c r="A22" s="2" t="n">
        <v>21</v>
      </c>
      <c r="B22" s="2" t="s">
        <v>179</v>
      </c>
      <c r="C22" s="2" t="s">
        <v>180</v>
      </c>
      <c r="D22" s="2" t="s">
        <v>19</v>
      </c>
      <c r="E22" s="2" t="s">
        <v>20</v>
      </c>
      <c r="F22" s="2" t="s">
        <v>21</v>
      </c>
      <c r="G22" s="2" t="s">
        <v>181</v>
      </c>
      <c r="H22" s="3" t="s">
        <v>182</v>
      </c>
      <c r="I22" s="2" t="s">
        <v>183</v>
      </c>
      <c r="J22" s="2" t="s">
        <v>184</v>
      </c>
      <c r="K22" s="2" t="s">
        <v>185</v>
      </c>
      <c r="L22" s="4" t="s">
        <v>7</v>
      </c>
      <c r="M22" s="2" t="s">
        <v>186</v>
      </c>
      <c r="N22" s="2" t="s">
        <v>28</v>
      </c>
      <c r="O22" s="2" t="s">
        <v>187</v>
      </c>
      <c r="P22" s="5"/>
      <c r="Q22" s="5"/>
    </row>
    <row r="23" customFormat="false" ht="78" hidden="false" customHeight="true" outlineLevel="0" collapsed="false">
      <c r="A23" s="6" t="n">
        <v>22</v>
      </c>
      <c r="B23" s="6" t="s">
        <v>179</v>
      </c>
      <c r="C23" s="6" t="s">
        <v>180</v>
      </c>
      <c r="D23" s="6" t="s">
        <v>19</v>
      </c>
      <c r="E23" s="6" t="s">
        <v>30</v>
      </c>
      <c r="F23" s="6" t="s">
        <v>31</v>
      </c>
      <c r="G23" s="6" t="s">
        <v>188</v>
      </c>
      <c r="H23" s="6" t="s">
        <v>159</v>
      </c>
      <c r="I23" s="6" t="s">
        <v>189</v>
      </c>
      <c r="J23" s="7" t="s">
        <v>190</v>
      </c>
      <c r="K23" s="6" t="s">
        <v>191</v>
      </c>
      <c r="L23" s="8" t="s">
        <v>9</v>
      </c>
      <c r="M23" s="6" t="s">
        <v>192</v>
      </c>
      <c r="N23" s="6" t="s">
        <v>38</v>
      </c>
      <c r="O23" s="6" t="s">
        <v>193</v>
      </c>
      <c r="P23" s="5"/>
      <c r="Q23" s="5"/>
    </row>
    <row r="24" customFormat="false" ht="78" hidden="false" customHeight="true" outlineLevel="0" collapsed="false">
      <c r="A24" s="2" t="n">
        <v>23</v>
      </c>
      <c r="B24" s="2" t="s">
        <v>179</v>
      </c>
      <c r="C24" s="2" t="s">
        <v>180</v>
      </c>
      <c r="D24" s="2" t="s">
        <v>19</v>
      </c>
      <c r="E24" s="2" t="s">
        <v>40</v>
      </c>
      <c r="F24" s="2" t="s">
        <v>31</v>
      </c>
      <c r="G24" s="2" t="s">
        <v>194</v>
      </c>
      <c r="H24" s="2" t="s">
        <v>195</v>
      </c>
      <c r="I24" s="3" t="s">
        <v>196</v>
      </c>
      <c r="J24" s="2" t="s">
        <v>197</v>
      </c>
      <c r="K24" s="2" t="s">
        <v>198</v>
      </c>
      <c r="L24" s="4" t="s">
        <v>8</v>
      </c>
      <c r="M24" s="2" t="s">
        <v>199</v>
      </c>
      <c r="N24" s="2" t="s">
        <v>47</v>
      </c>
      <c r="O24" s="2" t="s">
        <v>200</v>
      </c>
      <c r="P24" s="5"/>
      <c r="Q24" s="5"/>
    </row>
    <row r="25" customFormat="false" ht="78" hidden="false" customHeight="true" outlineLevel="0" collapsed="false">
      <c r="A25" s="6" t="n">
        <v>24</v>
      </c>
      <c r="B25" s="6" t="s">
        <v>179</v>
      </c>
      <c r="C25" s="6" t="s">
        <v>180</v>
      </c>
      <c r="D25" s="6" t="s">
        <v>19</v>
      </c>
      <c r="E25" s="6" t="s">
        <v>49</v>
      </c>
      <c r="F25" s="6" t="s">
        <v>50</v>
      </c>
      <c r="G25" s="6" t="s">
        <v>201</v>
      </c>
      <c r="H25" s="6" t="s">
        <v>202</v>
      </c>
      <c r="I25" s="6" t="s">
        <v>203</v>
      </c>
      <c r="J25" s="6" t="s">
        <v>204</v>
      </c>
      <c r="K25" s="7" t="s">
        <v>205</v>
      </c>
      <c r="L25" s="8" t="s">
        <v>10</v>
      </c>
      <c r="M25" s="6" t="s">
        <v>206</v>
      </c>
      <c r="N25" s="6" t="s">
        <v>89</v>
      </c>
      <c r="O25" s="6" t="s">
        <v>207</v>
      </c>
      <c r="P25" s="5"/>
      <c r="Q25" s="5"/>
    </row>
    <row r="26" customFormat="false" ht="78" hidden="false" customHeight="true" outlineLevel="0" collapsed="false">
      <c r="A26" s="2" t="n">
        <v>25</v>
      </c>
      <c r="B26" s="2" t="s">
        <v>208</v>
      </c>
      <c r="C26" s="2" t="s">
        <v>209</v>
      </c>
      <c r="D26" s="2" t="s">
        <v>19</v>
      </c>
      <c r="E26" s="2" t="s">
        <v>20</v>
      </c>
      <c r="F26" s="2" t="s">
        <v>21</v>
      </c>
      <c r="G26" s="2" t="s">
        <v>210</v>
      </c>
      <c r="H26" s="2" t="s">
        <v>211</v>
      </c>
      <c r="I26" s="3" t="s">
        <v>212</v>
      </c>
      <c r="J26" s="2" t="s">
        <v>213</v>
      </c>
      <c r="K26" s="2" t="s">
        <v>214</v>
      </c>
      <c r="L26" s="4" t="s">
        <v>8</v>
      </c>
      <c r="M26" s="2" t="s">
        <v>215</v>
      </c>
      <c r="N26" s="2" t="s">
        <v>28</v>
      </c>
      <c r="O26" s="2" t="s">
        <v>216</v>
      </c>
      <c r="P26" s="5"/>
      <c r="Q26" s="5"/>
    </row>
    <row r="27" customFormat="false" ht="78" hidden="false" customHeight="true" outlineLevel="0" collapsed="false">
      <c r="A27" s="6" t="n">
        <v>26</v>
      </c>
      <c r="B27" s="6" t="s">
        <v>208</v>
      </c>
      <c r="C27" s="6" t="s">
        <v>209</v>
      </c>
      <c r="D27" s="6" t="s">
        <v>19</v>
      </c>
      <c r="E27" s="6" t="s">
        <v>30</v>
      </c>
      <c r="F27" s="6" t="s">
        <v>31</v>
      </c>
      <c r="G27" s="6" t="s">
        <v>217</v>
      </c>
      <c r="H27" s="7" t="s">
        <v>218</v>
      </c>
      <c r="I27" s="6" t="s">
        <v>219</v>
      </c>
      <c r="J27" s="6" t="s">
        <v>220</v>
      </c>
      <c r="K27" s="6" t="s">
        <v>221</v>
      </c>
      <c r="L27" s="8" t="s">
        <v>7</v>
      </c>
      <c r="M27" s="6" t="s">
        <v>222</v>
      </c>
      <c r="N27" s="6" t="s">
        <v>38</v>
      </c>
      <c r="O27" s="6" t="s">
        <v>223</v>
      </c>
      <c r="P27" s="5"/>
      <c r="Q27" s="5"/>
    </row>
    <row r="28" customFormat="false" ht="78" hidden="false" customHeight="true" outlineLevel="0" collapsed="false">
      <c r="A28" s="2" t="n">
        <v>27</v>
      </c>
      <c r="B28" s="2" t="s">
        <v>208</v>
      </c>
      <c r="C28" s="2" t="s">
        <v>209</v>
      </c>
      <c r="D28" s="2" t="s">
        <v>19</v>
      </c>
      <c r="E28" s="2" t="s">
        <v>40</v>
      </c>
      <c r="F28" s="2" t="s">
        <v>31</v>
      </c>
      <c r="G28" s="2" t="s">
        <v>224</v>
      </c>
      <c r="H28" s="2" t="s">
        <v>225</v>
      </c>
      <c r="I28" s="2" t="s">
        <v>226</v>
      </c>
      <c r="J28" s="3" t="s">
        <v>227</v>
      </c>
      <c r="K28" s="2" t="s">
        <v>228</v>
      </c>
      <c r="L28" s="4" t="s">
        <v>9</v>
      </c>
      <c r="M28" s="2" t="s">
        <v>229</v>
      </c>
      <c r="N28" s="2" t="s">
        <v>47</v>
      </c>
      <c r="O28" s="2" t="s">
        <v>200</v>
      </c>
      <c r="P28" s="5"/>
      <c r="Q28" s="5"/>
    </row>
    <row r="29" customFormat="false" ht="78" hidden="false" customHeight="true" outlineLevel="0" collapsed="false">
      <c r="A29" s="6" t="n">
        <v>28</v>
      </c>
      <c r="B29" s="6" t="s">
        <v>208</v>
      </c>
      <c r="C29" s="6" t="s">
        <v>209</v>
      </c>
      <c r="D29" s="6" t="s">
        <v>19</v>
      </c>
      <c r="E29" s="6" t="s">
        <v>49</v>
      </c>
      <c r="F29" s="6" t="s">
        <v>50</v>
      </c>
      <c r="G29" s="6" t="s">
        <v>230</v>
      </c>
      <c r="H29" s="7" t="s">
        <v>231</v>
      </c>
      <c r="I29" s="6" t="s">
        <v>232</v>
      </c>
      <c r="J29" s="6" t="s">
        <v>233</v>
      </c>
      <c r="K29" s="6" t="s">
        <v>234</v>
      </c>
      <c r="L29" s="8" t="s">
        <v>7</v>
      </c>
      <c r="M29" s="6" t="s">
        <v>235</v>
      </c>
      <c r="N29" s="6" t="s">
        <v>89</v>
      </c>
      <c r="O29" s="6" t="s">
        <v>236</v>
      </c>
      <c r="P29" s="5"/>
      <c r="Q29" s="5"/>
    </row>
    <row r="30" customFormat="false" ht="78" hidden="false" customHeight="true" outlineLevel="0" collapsed="false">
      <c r="A30" s="2" t="n">
        <v>29</v>
      </c>
      <c r="B30" s="2" t="s">
        <v>237</v>
      </c>
      <c r="C30" s="2" t="s">
        <v>238</v>
      </c>
      <c r="D30" s="2" t="s">
        <v>239</v>
      </c>
      <c r="E30" s="2" t="s">
        <v>20</v>
      </c>
      <c r="F30" s="2" t="s">
        <v>21</v>
      </c>
      <c r="G30" s="2" t="s">
        <v>240</v>
      </c>
      <c r="H30" s="3" t="s">
        <v>241</v>
      </c>
      <c r="I30" s="2" t="s">
        <v>242</v>
      </c>
      <c r="J30" s="2" t="s">
        <v>182</v>
      </c>
      <c r="K30" s="2" t="s">
        <v>243</v>
      </c>
      <c r="L30" s="4" t="s">
        <v>7</v>
      </c>
      <c r="M30" s="2" t="s">
        <v>244</v>
      </c>
      <c r="N30" s="2" t="s">
        <v>28</v>
      </c>
      <c r="O30" s="2" t="s">
        <v>245</v>
      </c>
      <c r="P30" s="5"/>
      <c r="Q30" s="5"/>
    </row>
    <row r="31" customFormat="false" ht="78" hidden="false" customHeight="true" outlineLevel="0" collapsed="false">
      <c r="A31" s="6" t="n">
        <v>30</v>
      </c>
      <c r="B31" s="6" t="s">
        <v>237</v>
      </c>
      <c r="C31" s="6" t="s">
        <v>238</v>
      </c>
      <c r="D31" s="6" t="s">
        <v>239</v>
      </c>
      <c r="E31" s="6" t="s">
        <v>30</v>
      </c>
      <c r="F31" s="6" t="s">
        <v>31</v>
      </c>
      <c r="G31" s="6" t="s">
        <v>246</v>
      </c>
      <c r="H31" s="6" t="s">
        <v>247</v>
      </c>
      <c r="I31" s="7" t="s">
        <v>248</v>
      </c>
      <c r="J31" s="6" t="s">
        <v>249</v>
      </c>
      <c r="K31" s="6" t="s">
        <v>250</v>
      </c>
      <c r="L31" s="8" t="s">
        <v>8</v>
      </c>
      <c r="M31" s="6" t="s">
        <v>251</v>
      </c>
      <c r="N31" s="6" t="s">
        <v>38</v>
      </c>
      <c r="O31" s="6" t="s">
        <v>252</v>
      </c>
      <c r="P31" s="5"/>
      <c r="Q31" s="5"/>
    </row>
    <row r="32" customFormat="false" ht="78" hidden="false" customHeight="true" outlineLevel="0" collapsed="false">
      <c r="A32" s="2" t="n">
        <v>31</v>
      </c>
      <c r="B32" s="2" t="s">
        <v>237</v>
      </c>
      <c r="C32" s="2" t="s">
        <v>238</v>
      </c>
      <c r="D32" s="2" t="s">
        <v>239</v>
      </c>
      <c r="E32" s="2" t="s">
        <v>40</v>
      </c>
      <c r="F32" s="2" t="s">
        <v>31</v>
      </c>
      <c r="G32" s="2" t="s">
        <v>253</v>
      </c>
      <c r="H32" s="2" t="s">
        <v>254</v>
      </c>
      <c r="I32" s="2" t="s">
        <v>255</v>
      </c>
      <c r="J32" s="3" t="s">
        <v>256</v>
      </c>
      <c r="K32" s="2" t="s">
        <v>257</v>
      </c>
      <c r="L32" s="4" t="s">
        <v>9</v>
      </c>
      <c r="M32" s="2" t="s">
        <v>258</v>
      </c>
      <c r="N32" s="2" t="s">
        <v>47</v>
      </c>
      <c r="O32" s="2" t="s">
        <v>259</v>
      </c>
      <c r="P32" s="5"/>
      <c r="Q32" s="5"/>
    </row>
    <row r="33" customFormat="false" ht="78" hidden="false" customHeight="true" outlineLevel="0" collapsed="false">
      <c r="A33" s="6" t="n">
        <v>32</v>
      </c>
      <c r="B33" s="6" t="s">
        <v>237</v>
      </c>
      <c r="C33" s="6" t="s">
        <v>238</v>
      </c>
      <c r="D33" s="6" t="s">
        <v>239</v>
      </c>
      <c r="E33" s="6" t="s">
        <v>49</v>
      </c>
      <c r="F33" s="6" t="s">
        <v>50</v>
      </c>
      <c r="G33" s="6" t="s">
        <v>260</v>
      </c>
      <c r="H33" s="6" t="s">
        <v>261</v>
      </c>
      <c r="I33" s="7" t="s">
        <v>262</v>
      </c>
      <c r="J33" s="6" t="s">
        <v>263</v>
      </c>
      <c r="K33" s="6" t="s">
        <v>264</v>
      </c>
      <c r="L33" s="8" t="s">
        <v>8</v>
      </c>
      <c r="M33" s="6" t="s">
        <v>265</v>
      </c>
      <c r="N33" s="6" t="s">
        <v>89</v>
      </c>
      <c r="O33" s="6" t="s">
        <v>266</v>
      </c>
      <c r="P33" s="5"/>
      <c r="Q33" s="5"/>
    </row>
    <row r="34" customFormat="false" ht="78" hidden="false" customHeight="true" outlineLevel="0" collapsed="false">
      <c r="A34" s="2" t="n">
        <v>33</v>
      </c>
      <c r="B34" s="2" t="s">
        <v>267</v>
      </c>
      <c r="C34" s="2" t="s">
        <v>268</v>
      </c>
      <c r="D34" s="2" t="s">
        <v>239</v>
      </c>
      <c r="E34" s="2" t="s">
        <v>20</v>
      </c>
      <c r="F34" s="2" t="s">
        <v>21</v>
      </c>
      <c r="G34" s="2" t="s">
        <v>269</v>
      </c>
      <c r="H34" s="3" t="s">
        <v>270</v>
      </c>
      <c r="I34" s="2" t="s">
        <v>271</v>
      </c>
      <c r="J34" s="2" t="s">
        <v>272</v>
      </c>
      <c r="K34" s="2" t="s">
        <v>273</v>
      </c>
      <c r="L34" s="4" t="s">
        <v>7</v>
      </c>
      <c r="M34" s="2" t="s">
        <v>274</v>
      </c>
      <c r="N34" s="2" t="s">
        <v>28</v>
      </c>
      <c r="O34" s="2" t="s">
        <v>275</v>
      </c>
      <c r="P34" s="5"/>
      <c r="Q34" s="5"/>
    </row>
    <row r="35" customFormat="false" ht="78" hidden="false" customHeight="true" outlineLevel="0" collapsed="false">
      <c r="A35" s="6" t="n">
        <v>34</v>
      </c>
      <c r="B35" s="6" t="s">
        <v>267</v>
      </c>
      <c r="C35" s="6" t="s">
        <v>268</v>
      </c>
      <c r="D35" s="6" t="s">
        <v>239</v>
      </c>
      <c r="E35" s="6" t="s">
        <v>30</v>
      </c>
      <c r="F35" s="6" t="s">
        <v>31</v>
      </c>
      <c r="G35" s="6" t="s">
        <v>276</v>
      </c>
      <c r="H35" s="7" t="s">
        <v>277</v>
      </c>
      <c r="I35" s="6" t="s">
        <v>278</v>
      </c>
      <c r="J35" s="6" t="s">
        <v>279</v>
      </c>
      <c r="K35" s="6" t="s">
        <v>280</v>
      </c>
      <c r="L35" s="8" t="s">
        <v>7</v>
      </c>
      <c r="M35" s="6" t="s">
        <v>281</v>
      </c>
      <c r="N35" s="6" t="s">
        <v>38</v>
      </c>
      <c r="O35" s="6" t="s">
        <v>282</v>
      </c>
      <c r="P35" s="5"/>
      <c r="Q35" s="5"/>
    </row>
    <row r="36" customFormat="false" ht="78" hidden="false" customHeight="true" outlineLevel="0" collapsed="false">
      <c r="A36" s="2" t="n">
        <v>35</v>
      </c>
      <c r="B36" s="2" t="s">
        <v>267</v>
      </c>
      <c r="C36" s="2" t="s">
        <v>268</v>
      </c>
      <c r="D36" s="2" t="s">
        <v>239</v>
      </c>
      <c r="E36" s="2" t="s">
        <v>40</v>
      </c>
      <c r="F36" s="2" t="s">
        <v>31</v>
      </c>
      <c r="G36" s="2" t="s">
        <v>283</v>
      </c>
      <c r="H36" s="2" t="s">
        <v>110</v>
      </c>
      <c r="I36" s="3" t="s">
        <v>108</v>
      </c>
      <c r="J36" s="2" t="s">
        <v>284</v>
      </c>
      <c r="K36" s="2" t="s">
        <v>285</v>
      </c>
      <c r="L36" s="4" t="s">
        <v>8</v>
      </c>
      <c r="M36" s="2" t="s">
        <v>286</v>
      </c>
      <c r="N36" s="2" t="s">
        <v>47</v>
      </c>
      <c r="O36" s="2" t="s">
        <v>287</v>
      </c>
      <c r="P36" s="5"/>
      <c r="Q36" s="5"/>
    </row>
    <row r="37" customFormat="false" ht="78" hidden="false" customHeight="true" outlineLevel="0" collapsed="false">
      <c r="A37" s="6" t="n">
        <v>36</v>
      </c>
      <c r="B37" s="6" t="s">
        <v>267</v>
      </c>
      <c r="C37" s="6" t="s">
        <v>268</v>
      </c>
      <c r="D37" s="6" t="s">
        <v>239</v>
      </c>
      <c r="E37" s="6" t="s">
        <v>49</v>
      </c>
      <c r="F37" s="6" t="s">
        <v>50</v>
      </c>
      <c r="G37" s="6" t="s">
        <v>288</v>
      </c>
      <c r="H37" s="6" t="s">
        <v>55</v>
      </c>
      <c r="I37" s="6" t="s">
        <v>289</v>
      </c>
      <c r="J37" s="7" t="s">
        <v>290</v>
      </c>
      <c r="K37" s="6" t="s">
        <v>291</v>
      </c>
      <c r="L37" s="8" t="s">
        <v>9</v>
      </c>
      <c r="M37" s="6" t="s">
        <v>292</v>
      </c>
      <c r="N37" s="6" t="s">
        <v>57</v>
      </c>
      <c r="O37" s="6" t="s">
        <v>293</v>
      </c>
      <c r="P37" s="5"/>
      <c r="Q37" s="5"/>
    </row>
    <row r="38" customFormat="false" ht="78" hidden="false" customHeight="true" outlineLevel="0" collapsed="false">
      <c r="A38" s="2" t="n">
        <v>37</v>
      </c>
      <c r="B38" s="2" t="s">
        <v>294</v>
      </c>
      <c r="C38" s="2" t="s">
        <v>295</v>
      </c>
      <c r="D38" s="2" t="s">
        <v>239</v>
      </c>
      <c r="E38" s="2" t="s">
        <v>20</v>
      </c>
      <c r="F38" s="2" t="s">
        <v>21</v>
      </c>
      <c r="G38" s="2" t="s">
        <v>296</v>
      </c>
      <c r="H38" s="3" t="s">
        <v>297</v>
      </c>
      <c r="I38" s="2" t="s">
        <v>298</v>
      </c>
      <c r="J38" s="2" t="s">
        <v>126</v>
      </c>
      <c r="K38" s="2" t="s">
        <v>152</v>
      </c>
      <c r="L38" s="4" t="s">
        <v>7</v>
      </c>
      <c r="M38" s="2" t="s">
        <v>299</v>
      </c>
      <c r="N38" s="2" t="s">
        <v>28</v>
      </c>
      <c r="O38" s="2" t="s">
        <v>300</v>
      </c>
      <c r="P38" s="5"/>
      <c r="Q38" s="5"/>
    </row>
    <row r="39" customFormat="false" ht="78" hidden="false" customHeight="true" outlineLevel="0" collapsed="false">
      <c r="A39" s="6" t="n">
        <v>38</v>
      </c>
      <c r="B39" s="6" t="s">
        <v>294</v>
      </c>
      <c r="C39" s="6" t="s">
        <v>295</v>
      </c>
      <c r="D39" s="6" t="s">
        <v>239</v>
      </c>
      <c r="E39" s="6" t="s">
        <v>30</v>
      </c>
      <c r="F39" s="6" t="s">
        <v>31</v>
      </c>
      <c r="G39" s="6" t="s">
        <v>301</v>
      </c>
      <c r="H39" s="6" t="s">
        <v>302</v>
      </c>
      <c r="I39" s="7" t="s">
        <v>303</v>
      </c>
      <c r="J39" s="6" t="s">
        <v>304</v>
      </c>
      <c r="K39" s="6" t="s">
        <v>305</v>
      </c>
      <c r="L39" s="8" t="s">
        <v>8</v>
      </c>
      <c r="M39" s="6" t="s">
        <v>306</v>
      </c>
      <c r="N39" s="6" t="s">
        <v>38</v>
      </c>
      <c r="O39" s="6" t="s">
        <v>307</v>
      </c>
      <c r="P39" s="5"/>
      <c r="Q39" s="5"/>
    </row>
    <row r="40" customFormat="false" ht="78" hidden="false" customHeight="true" outlineLevel="0" collapsed="false">
      <c r="A40" s="2" t="n">
        <v>39</v>
      </c>
      <c r="B40" s="2" t="s">
        <v>294</v>
      </c>
      <c r="C40" s="2" t="s">
        <v>295</v>
      </c>
      <c r="D40" s="2" t="s">
        <v>239</v>
      </c>
      <c r="E40" s="2" t="s">
        <v>40</v>
      </c>
      <c r="F40" s="2" t="s">
        <v>31</v>
      </c>
      <c r="G40" s="2" t="s">
        <v>308</v>
      </c>
      <c r="H40" s="2" t="s">
        <v>309</v>
      </c>
      <c r="I40" s="2" t="s">
        <v>310</v>
      </c>
      <c r="J40" s="2" t="s">
        <v>311</v>
      </c>
      <c r="K40" s="3" t="s">
        <v>312</v>
      </c>
      <c r="L40" s="4" t="s">
        <v>10</v>
      </c>
      <c r="M40" s="2" t="s">
        <v>313</v>
      </c>
      <c r="N40" s="2" t="s">
        <v>47</v>
      </c>
      <c r="O40" s="2" t="s">
        <v>314</v>
      </c>
      <c r="P40" s="5"/>
      <c r="Q40" s="5"/>
    </row>
    <row r="41" customFormat="false" ht="78" hidden="false" customHeight="true" outlineLevel="0" collapsed="false">
      <c r="A41" s="6" t="n">
        <v>40</v>
      </c>
      <c r="B41" s="6" t="s">
        <v>294</v>
      </c>
      <c r="C41" s="6" t="s">
        <v>295</v>
      </c>
      <c r="D41" s="6" t="s">
        <v>239</v>
      </c>
      <c r="E41" s="6" t="s">
        <v>49</v>
      </c>
      <c r="F41" s="6" t="s">
        <v>50</v>
      </c>
      <c r="G41" s="6" t="s">
        <v>315</v>
      </c>
      <c r="H41" s="7" t="s">
        <v>316</v>
      </c>
      <c r="I41" s="6" t="s">
        <v>317</v>
      </c>
      <c r="J41" s="6" t="s">
        <v>318</v>
      </c>
      <c r="K41" s="6" t="s">
        <v>319</v>
      </c>
      <c r="L41" s="8" t="s">
        <v>7</v>
      </c>
      <c r="M41" s="6" t="s">
        <v>320</v>
      </c>
      <c r="N41" s="6" t="s">
        <v>89</v>
      </c>
      <c r="O41" s="6" t="s">
        <v>321</v>
      </c>
      <c r="P41" s="5"/>
      <c r="Q41" s="5"/>
    </row>
    <row r="42" customFormat="false" ht="78" hidden="false" customHeight="true" outlineLevel="0" collapsed="false">
      <c r="A42" s="2" t="n">
        <v>41</v>
      </c>
      <c r="B42" s="2" t="s">
        <v>322</v>
      </c>
      <c r="C42" s="2" t="s">
        <v>323</v>
      </c>
      <c r="D42" s="2" t="s">
        <v>239</v>
      </c>
      <c r="E42" s="2" t="s">
        <v>20</v>
      </c>
      <c r="F42" s="2" t="s">
        <v>21</v>
      </c>
      <c r="G42" s="2" t="s">
        <v>324</v>
      </c>
      <c r="H42" s="3" t="s">
        <v>325</v>
      </c>
      <c r="I42" s="2" t="s">
        <v>326</v>
      </c>
      <c r="J42" s="2" t="s">
        <v>327</v>
      </c>
      <c r="K42" s="2" t="s">
        <v>328</v>
      </c>
      <c r="L42" s="4" t="s">
        <v>7</v>
      </c>
      <c r="M42" s="2" t="s">
        <v>329</v>
      </c>
      <c r="N42" s="2" t="s">
        <v>28</v>
      </c>
      <c r="O42" s="2" t="s">
        <v>330</v>
      </c>
      <c r="P42" s="5"/>
      <c r="Q42" s="5"/>
    </row>
    <row r="43" customFormat="false" ht="78" hidden="false" customHeight="true" outlineLevel="0" collapsed="false">
      <c r="A43" s="6" t="n">
        <v>42</v>
      </c>
      <c r="B43" s="6" t="s">
        <v>322</v>
      </c>
      <c r="C43" s="6" t="s">
        <v>323</v>
      </c>
      <c r="D43" s="6" t="s">
        <v>239</v>
      </c>
      <c r="E43" s="6" t="s">
        <v>30</v>
      </c>
      <c r="F43" s="6" t="s">
        <v>31</v>
      </c>
      <c r="G43" s="6" t="s">
        <v>331</v>
      </c>
      <c r="H43" s="7" t="s">
        <v>332</v>
      </c>
      <c r="I43" s="6" t="s">
        <v>333</v>
      </c>
      <c r="J43" s="6" t="s">
        <v>334</v>
      </c>
      <c r="K43" s="6" t="s">
        <v>335</v>
      </c>
      <c r="L43" s="8" t="s">
        <v>7</v>
      </c>
      <c r="M43" s="6" t="s">
        <v>336</v>
      </c>
      <c r="N43" s="6" t="s">
        <v>38</v>
      </c>
      <c r="O43" s="6" t="s">
        <v>337</v>
      </c>
      <c r="P43" s="5"/>
      <c r="Q43" s="5"/>
    </row>
    <row r="44" customFormat="false" ht="78" hidden="false" customHeight="true" outlineLevel="0" collapsed="false">
      <c r="A44" s="2" t="n">
        <v>43</v>
      </c>
      <c r="B44" s="2" t="s">
        <v>322</v>
      </c>
      <c r="C44" s="2" t="s">
        <v>323</v>
      </c>
      <c r="D44" s="2" t="s">
        <v>239</v>
      </c>
      <c r="E44" s="2" t="s">
        <v>40</v>
      </c>
      <c r="F44" s="2" t="s">
        <v>31</v>
      </c>
      <c r="G44" s="2" t="s">
        <v>338</v>
      </c>
      <c r="H44" s="2" t="s">
        <v>339</v>
      </c>
      <c r="I44" s="3" t="s">
        <v>340</v>
      </c>
      <c r="J44" s="2" t="s">
        <v>341</v>
      </c>
      <c r="K44" s="2" t="s">
        <v>342</v>
      </c>
      <c r="L44" s="4" t="s">
        <v>8</v>
      </c>
      <c r="M44" s="2" t="s">
        <v>343</v>
      </c>
      <c r="N44" s="2" t="s">
        <v>47</v>
      </c>
      <c r="O44" s="2" t="s">
        <v>344</v>
      </c>
      <c r="P44" s="5"/>
      <c r="Q44" s="5"/>
    </row>
    <row r="45" customFormat="false" ht="78" hidden="false" customHeight="true" outlineLevel="0" collapsed="false">
      <c r="A45" s="6" t="n">
        <v>44</v>
      </c>
      <c r="B45" s="6" t="s">
        <v>322</v>
      </c>
      <c r="C45" s="6" t="s">
        <v>323</v>
      </c>
      <c r="D45" s="6" t="s">
        <v>239</v>
      </c>
      <c r="E45" s="6" t="s">
        <v>49</v>
      </c>
      <c r="F45" s="6" t="s">
        <v>50</v>
      </c>
      <c r="G45" s="6" t="s">
        <v>345</v>
      </c>
      <c r="H45" s="6" t="s">
        <v>346</v>
      </c>
      <c r="I45" s="6" t="s">
        <v>347</v>
      </c>
      <c r="J45" s="7" t="s">
        <v>348</v>
      </c>
      <c r="K45" s="6" t="s">
        <v>349</v>
      </c>
      <c r="L45" s="8" t="s">
        <v>9</v>
      </c>
      <c r="M45" s="6" t="s">
        <v>350</v>
      </c>
      <c r="N45" s="6" t="s">
        <v>89</v>
      </c>
      <c r="O45" s="6" t="s">
        <v>351</v>
      </c>
      <c r="P45" s="5"/>
      <c r="Q45" s="5"/>
    </row>
    <row r="46" customFormat="false" ht="78" hidden="false" customHeight="true" outlineLevel="0" collapsed="false">
      <c r="A46" s="2" t="n">
        <v>45</v>
      </c>
      <c r="B46" s="2" t="s">
        <v>352</v>
      </c>
      <c r="C46" s="2" t="s">
        <v>353</v>
      </c>
      <c r="D46" s="2" t="s">
        <v>239</v>
      </c>
      <c r="E46" s="2" t="s">
        <v>20</v>
      </c>
      <c r="F46" s="2" t="s">
        <v>21</v>
      </c>
      <c r="G46" s="2" t="s">
        <v>354</v>
      </c>
      <c r="H46" s="2" t="s">
        <v>355</v>
      </c>
      <c r="I46" s="3" t="s">
        <v>270</v>
      </c>
      <c r="J46" s="2" t="s">
        <v>356</v>
      </c>
      <c r="K46" s="2" t="s">
        <v>63</v>
      </c>
      <c r="L46" s="4" t="s">
        <v>8</v>
      </c>
      <c r="M46" s="2" t="s">
        <v>357</v>
      </c>
      <c r="N46" s="2" t="s">
        <v>28</v>
      </c>
      <c r="O46" s="2" t="s">
        <v>358</v>
      </c>
      <c r="P46" s="5"/>
      <c r="Q46" s="5"/>
    </row>
    <row r="47" customFormat="false" ht="78" hidden="false" customHeight="true" outlineLevel="0" collapsed="false">
      <c r="A47" s="6" t="n">
        <v>46</v>
      </c>
      <c r="B47" s="6" t="s">
        <v>352</v>
      </c>
      <c r="C47" s="6" t="s">
        <v>353</v>
      </c>
      <c r="D47" s="6" t="s">
        <v>239</v>
      </c>
      <c r="E47" s="6" t="s">
        <v>30</v>
      </c>
      <c r="F47" s="6" t="s">
        <v>31</v>
      </c>
      <c r="G47" s="6" t="s">
        <v>359</v>
      </c>
      <c r="H47" s="7" t="s">
        <v>360</v>
      </c>
      <c r="I47" s="6" t="s">
        <v>361</v>
      </c>
      <c r="J47" s="6" t="s">
        <v>362</v>
      </c>
      <c r="K47" s="6" t="s">
        <v>363</v>
      </c>
      <c r="L47" s="8" t="s">
        <v>7</v>
      </c>
      <c r="M47" s="6" t="s">
        <v>364</v>
      </c>
      <c r="N47" s="6" t="s">
        <v>38</v>
      </c>
      <c r="O47" s="6" t="s">
        <v>365</v>
      </c>
      <c r="P47" s="5"/>
      <c r="Q47" s="5"/>
    </row>
    <row r="48" customFormat="false" ht="78" hidden="false" customHeight="true" outlineLevel="0" collapsed="false">
      <c r="A48" s="2" t="n">
        <v>47</v>
      </c>
      <c r="B48" s="2" t="s">
        <v>352</v>
      </c>
      <c r="C48" s="2" t="s">
        <v>353</v>
      </c>
      <c r="D48" s="2" t="s">
        <v>239</v>
      </c>
      <c r="E48" s="2" t="s">
        <v>40</v>
      </c>
      <c r="F48" s="2" t="s">
        <v>31</v>
      </c>
      <c r="G48" s="2" t="s">
        <v>366</v>
      </c>
      <c r="H48" s="2" t="s">
        <v>367</v>
      </c>
      <c r="I48" s="2" t="s">
        <v>368</v>
      </c>
      <c r="J48" s="3" t="s">
        <v>369</v>
      </c>
      <c r="K48" s="2" t="s">
        <v>370</v>
      </c>
      <c r="L48" s="4" t="s">
        <v>9</v>
      </c>
      <c r="M48" s="2" t="s">
        <v>371</v>
      </c>
      <c r="N48" s="2" t="s">
        <v>47</v>
      </c>
      <c r="O48" s="2" t="s">
        <v>372</v>
      </c>
      <c r="P48" s="5"/>
      <c r="Q48" s="5"/>
    </row>
    <row r="49" customFormat="false" ht="78" hidden="false" customHeight="true" outlineLevel="0" collapsed="false">
      <c r="A49" s="6" t="n">
        <v>48</v>
      </c>
      <c r="B49" s="6" t="s">
        <v>352</v>
      </c>
      <c r="C49" s="6" t="s">
        <v>353</v>
      </c>
      <c r="D49" s="6" t="s">
        <v>239</v>
      </c>
      <c r="E49" s="6" t="s">
        <v>49</v>
      </c>
      <c r="F49" s="6" t="s">
        <v>50</v>
      </c>
      <c r="G49" s="6" t="s">
        <v>373</v>
      </c>
      <c r="H49" s="6" t="s">
        <v>374</v>
      </c>
      <c r="I49" s="7" t="s">
        <v>375</v>
      </c>
      <c r="J49" s="6" t="s">
        <v>376</v>
      </c>
      <c r="K49" s="6" t="s">
        <v>377</v>
      </c>
      <c r="L49" s="8" t="s">
        <v>8</v>
      </c>
      <c r="M49" s="6" t="s">
        <v>378</v>
      </c>
      <c r="N49" s="6" t="s">
        <v>89</v>
      </c>
      <c r="O49" s="6" t="s">
        <v>379</v>
      </c>
      <c r="P49" s="5"/>
      <c r="Q49" s="5"/>
    </row>
    <row r="50" customFormat="false" ht="78" hidden="false" customHeight="true" outlineLevel="0" collapsed="false">
      <c r="A50" s="2" t="n">
        <v>49</v>
      </c>
      <c r="B50" s="2" t="s">
        <v>380</v>
      </c>
      <c r="C50" s="2" t="s">
        <v>381</v>
      </c>
      <c r="D50" s="2" t="s">
        <v>239</v>
      </c>
      <c r="E50" s="2" t="s">
        <v>20</v>
      </c>
      <c r="F50" s="2" t="s">
        <v>21</v>
      </c>
      <c r="G50" s="2" t="s">
        <v>382</v>
      </c>
      <c r="H50" s="3" t="s">
        <v>327</v>
      </c>
      <c r="I50" s="2" t="s">
        <v>383</v>
      </c>
      <c r="J50" s="2" t="s">
        <v>384</v>
      </c>
      <c r="K50" s="2" t="s">
        <v>385</v>
      </c>
      <c r="L50" s="4" t="s">
        <v>7</v>
      </c>
      <c r="M50" s="2" t="s">
        <v>386</v>
      </c>
      <c r="N50" s="2" t="s">
        <v>28</v>
      </c>
      <c r="O50" s="2" t="s">
        <v>387</v>
      </c>
      <c r="P50" s="5"/>
      <c r="Q50" s="5"/>
    </row>
    <row r="51" customFormat="false" ht="78" hidden="false" customHeight="true" outlineLevel="0" collapsed="false">
      <c r="A51" s="6" t="n">
        <v>50</v>
      </c>
      <c r="B51" s="6" t="s">
        <v>380</v>
      </c>
      <c r="C51" s="6" t="s">
        <v>381</v>
      </c>
      <c r="D51" s="6" t="s">
        <v>239</v>
      </c>
      <c r="E51" s="6" t="s">
        <v>30</v>
      </c>
      <c r="F51" s="6" t="s">
        <v>31</v>
      </c>
      <c r="G51" s="6" t="s">
        <v>388</v>
      </c>
      <c r="H51" s="6" t="s">
        <v>389</v>
      </c>
      <c r="I51" s="7" t="s">
        <v>390</v>
      </c>
      <c r="J51" s="6" t="s">
        <v>391</v>
      </c>
      <c r="K51" s="6" t="s">
        <v>392</v>
      </c>
      <c r="L51" s="8" t="s">
        <v>8</v>
      </c>
      <c r="M51" s="6" t="s">
        <v>393</v>
      </c>
      <c r="N51" s="6" t="s">
        <v>38</v>
      </c>
      <c r="O51" s="6" t="s">
        <v>394</v>
      </c>
      <c r="P51" s="5"/>
      <c r="Q51" s="5"/>
    </row>
    <row r="52" customFormat="false" ht="78" hidden="false" customHeight="true" outlineLevel="0" collapsed="false">
      <c r="A52" s="2" t="n">
        <v>51</v>
      </c>
      <c r="B52" s="2" t="s">
        <v>380</v>
      </c>
      <c r="C52" s="2" t="s">
        <v>381</v>
      </c>
      <c r="D52" s="2" t="s">
        <v>239</v>
      </c>
      <c r="E52" s="2" t="s">
        <v>40</v>
      </c>
      <c r="F52" s="2" t="s">
        <v>31</v>
      </c>
      <c r="G52" s="2" t="s">
        <v>395</v>
      </c>
      <c r="H52" s="3" t="s">
        <v>396</v>
      </c>
      <c r="I52" s="2" t="s">
        <v>397</v>
      </c>
      <c r="J52" s="2" t="s">
        <v>398</v>
      </c>
      <c r="K52" s="2" t="s">
        <v>399</v>
      </c>
      <c r="L52" s="4" t="s">
        <v>7</v>
      </c>
      <c r="M52" s="2" t="s">
        <v>400</v>
      </c>
      <c r="N52" s="2" t="s">
        <v>47</v>
      </c>
      <c r="O52" s="2" t="s">
        <v>401</v>
      </c>
      <c r="P52" s="5"/>
      <c r="Q52" s="5"/>
    </row>
    <row r="53" customFormat="false" ht="78" hidden="false" customHeight="true" outlineLevel="0" collapsed="false">
      <c r="A53" s="6" t="n">
        <v>52</v>
      </c>
      <c r="B53" s="6" t="s">
        <v>380</v>
      </c>
      <c r="C53" s="6" t="s">
        <v>381</v>
      </c>
      <c r="D53" s="6" t="s">
        <v>239</v>
      </c>
      <c r="E53" s="6" t="s">
        <v>49</v>
      </c>
      <c r="F53" s="6" t="s">
        <v>50</v>
      </c>
      <c r="G53" s="6" t="s">
        <v>402</v>
      </c>
      <c r="H53" s="6" t="s">
        <v>403</v>
      </c>
      <c r="I53" s="6" t="s">
        <v>404</v>
      </c>
      <c r="J53" s="6" t="s">
        <v>405</v>
      </c>
      <c r="K53" s="7" t="s">
        <v>406</v>
      </c>
      <c r="L53" s="8" t="s">
        <v>10</v>
      </c>
      <c r="M53" s="6" t="s">
        <v>407</v>
      </c>
      <c r="N53" s="6" t="s">
        <v>57</v>
      </c>
      <c r="O53" s="6" t="s">
        <v>408</v>
      </c>
      <c r="P53" s="5"/>
      <c r="Q53" s="5"/>
    </row>
    <row r="54" customFormat="false" ht="78" hidden="false" customHeight="true" outlineLevel="0" collapsed="false">
      <c r="A54" s="2" t="n">
        <v>53</v>
      </c>
      <c r="B54" s="2" t="s">
        <v>409</v>
      </c>
      <c r="C54" s="2" t="s">
        <v>410</v>
      </c>
      <c r="D54" s="2" t="s">
        <v>239</v>
      </c>
      <c r="E54" s="2" t="s">
        <v>20</v>
      </c>
      <c r="F54" s="2" t="s">
        <v>21</v>
      </c>
      <c r="G54" s="2" t="s">
        <v>411</v>
      </c>
      <c r="H54" s="3" t="s">
        <v>412</v>
      </c>
      <c r="I54" s="2" t="s">
        <v>126</v>
      </c>
      <c r="J54" s="2" t="s">
        <v>94</v>
      </c>
      <c r="K54" s="2" t="s">
        <v>124</v>
      </c>
      <c r="L54" s="4" t="s">
        <v>7</v>
      </c>
      <c r="M54" s="2" t="s">
        <v>413</v>
      </c>
      <c r="N54" s="2" t="s">
        <v>28</v>
      </c>
      <c r="O54" s="2" t="s">
        <v>414</v>
      </c>
      <c r="P54" s="5"/>
      <c r="Q54" s="5"/>
    </row>
    <row r="55" customFormat="false" ht="78" hidden="false" customHeight="true" outlineLevel="0" collapsed="false">
      <c r="A55" s="6" t="n">
        <v>54</v>
      </c>
      <c r="B55" s="6" t="s">
        <v>409</v>
      </c>
      <c r="C55" s="6" t="s">
        <v>410</v>
      </c>
      <c r="D55" s="6" t="s">
        <v>239</v>
      </c>
      <c r="E55" s="6" t="s">
        <v>30</v>
      </c>
      <c r="F55" s="6" t="s">
        <v>31</v>
      </c>
      <c r="G55" s="6" t="s">
        <v>415</v>
      </c>
      <c r="H55" s="6" t="s">
        <v>416</v>
      </c>
      <c r="I55" s="7" t="s">
        <v>417</v>
      </c>
      <c r="J55" s="6" t="s">
        <v>418</v>
      </c>
      <c r="K55" s="6" t="s">
        <v>419</v>
      </c>
      <c r="L55" s="8" t="s">
        <v>8</v>
      </c>
      <c r="M55" s="6" t="s">
        <v>420</v>
      </c>
      <c r="N55" s="6" t="s">
        <v>38</v>
      </c>
      <c r="O55" s="6" t="s">
        <v>421</v>
      </c>
      <c r="P55" s="5"/>
      <c r="Q55" s="5"/>
    </row>
    <row r="56" customFormat="false" ht="78" hidden="false" customHeight="true" outlineLevel="0" collapsed="false">
      <c r="A56" s="2" t="n">
        <v>55</v>
      </c>
      <c r="B56" s="2" t="s">
        <v>409</v>
      </c>
      <c r="C56" s="2" t="s">
        <v>410</v>
      </c>
      <c r="D56" s="2" t="s">
        <v>239</v>
      </c>
      <c r="E56" s="2" t="s">
        <v>40</v>
      </c>
      <c r="F56" s="2" t="s">
        <v>31</v>
      </c>
      <c r="G56" s="2" t="s">
        <v>422</v>
      </c>
      <c r="H56" s="2" t="s">
        <v>423</v>
      </c>
      <c r="I56" s="2" t="s">
        <v>424</v>
      </c>
      <c r="J56" s="3" t="s">
        <v>425</v>
      </c>
      <c r="K56" s="2" t="s">
        <v>426</v>
      </c>
      <c r="L56" s="4" t="s">
        <v>9</v>
      </c>
      <c r="M56" s="2" t="s">
        <v>427</v>
      </c>
      <c r="N56" s="2" t="s">
        <v>47</v>
      </c>
      <c r="O56" s="2" t="s">
        <v>428</v>
      </c>
      <c r="P56" s="5"/>
      <c r="Q56" s="5"/>
    </row>
    <row r="57" customFormat="false" ht="78" hidden="false" customHeight="true" outlineLevel="0" collapsed="false">
      <c r="A57" s="6" t="n">
        <v>56</v>
      </c>
      <c r="B57" s="6" t="s">
        <v>409</v>
      </c>
      <c r="C57" s="6" t="s">
        <v>410</v>
      </c>
      <c r="D57" s="6" t="s">
        <v>239</v>
      </c>
      <c r="E57" s="6" t="s">
        <v>49</v>
      </c>
      <c r="F57" s="6" t="s">
        <v>50</v>
      </c>
      <c r="G57" s="6" t="s">
        <v>429</v>
      </c>
      <c r="H57" s="6" t="s">
        <v>430</v>
      </c>
      <c r="I57" s="6" t="s">
        <v>431</v>
      </c>
      <c r="J57" s="7" t="s">
        <v>432</v>
      </c>
      <c r="K57" s="6" t="s">
        <v>433</v>
      </c>
      <c r="L57" s="8" t="s">
        <v>9</v>
      </c>
      <c r="M57" s="6" t="s">
        <v>434</v>
      </c>
      <c r="N57" s="6" t="s">
        <v>435</v>
      </c>
      <c r="O57" s="6" t="s">
        <v>436</v>
      </c>
      <c r="P57" s="5"/>
      <c r="Q57" s="5"/>
    </row>
    <row r="58" customFormat="false" ht="78" hidden="false" customHeight="true" outlineLevel="0" collapsed="false">
      <c r="A58" s="2" t="n">
        <v>57</v>
      </c>
      <c r="B58" s="2" t="s">
        <v>437</v>
      </c>
      <c r="C58" s="2" t="s">
        <v>438</v>
      </c>
      <c r="D58" s="2" t="s">
        <v>239</v>
      </c>
      <c r="E58" s="2" t="s">
        <v>20</v>
      </c>
      <c r="F58" s="2" t="s">
        <v>21</v>
      </c>
      <c r="G58" s="2" t="s">
        <v>439</v>
      </c>
      <c r="H58" s="3" t="s">
        <v>440</v>
      </c>
      <c r="I58" s="2" t="s">
        <v>441</v>
      </c>
      <c r="J58" s="2" t="s">
        <v>442</v>
      </c>
      <c r="K58" s="2" t="s">
        <v>443</v>
      </c>
      <c r="L58" s="4" t="s">
        <v>7</v>
      </c>
      <c r="M58" s="2" t="s">
        <v>444</v>
      </c>
      <c r="N58" s="2" t="s">
        <v>28</v>
      </c>
      <c r="O58" s="2" t="s">
        <v>445</v>
      </c>
      <c r="P58" s="5"/>
      <c r="Q58" s="5"/>
    </row>
    <row r="59" customFormat="false" ht="78" hidden="false" customHeight="true" outlineLevel="0" collapsed="false">
      <c r="A59" s="6" t="n">
        <v>58</v>
      </c>
      <c r="B59" s="6" t="s">
        <v>437</v>
      </c>
      <c r="C59" s="6" t="s">
        <v>438</v>
      </c>
      <c r="D59" s="6" t="s">
        <v>239</v>
      </c>
      <c r="E59" s="6" t="s">
        <v>30</v>
      </c>
      <c r="F59" s="6" t="s">
        <v>31</v>
      </c>
      <c r="G59" s="6" t="s">
        <v>446</v>
      </c>
      <c r="H59" s="6" t="s">
        <v>447</v>
      </c>
      <c r="I59" s="7" t="s">
        <v>448</v>
      </c>
      <c r="J59" s="6" t="s">
        <v>334</v>
      </c>
      <c r="K59" s="6" t="s">
        <v>449</v>
      </c>
      <c r="L59" s="8" t="s">
        <v>8</v>
      </c>
      <c r="M59" s="6" t="s">
        <v>450</v>
      </c>
      <c r="N59" s="6" t="s">
        <v>38</v>
      </c>
      <c r="O59" s="6" t="s">
        <v>451</v>
      </c>
      <c r="P59" s="5"/>
      <c r="Q59" s="5"/>
    </row>
    <row r="60" customFormat="false" ht="78" hidden="false" customHeight="true" outlineLevel="0" collapsed="false">
      <c r="A60" s="2" t="n">
        <v>59</v>
      </c>
      <c r="B60" s="2" t="s">
        <v>437</v>
      </c>
      <c r="C60" s="2" t="s">
        <v>438</v>
      </c>
      <c r="D60" s="2" t="s">
        <v>239</v>
      </c>
      <c r="E60" s="2" t="s">
        <v>40</v>
      </c>
      <c r="F60" s="2" t="s">
        <v>31</v>
      </c>
      <c r="G60" s="2" t="s">
        <v>452</v>
      </c>
      <c r="H60" s="2" t="s">
        <v>453</v>
      </c>
      <c r="I60" s="2" t="s">
        <v>454</v>
      </c>
      <c r="J60" s="3" t="s">
        <v>455</v>
      </c>
      <c r="K60" s="2" t="s">
        <v>456</v>
      </c>
      <c r="L60" s="4" t="s">
        <v>9</v>
      </c>
      <c r="M60" s="2" t="s">
        <v>457</v>
      </c>
      <c r="N60" s="2" t="s">
        <v>47</v>
      </c>
      <c r="O60" s="2" t="s">
        <v>458</v>
      </c>
      <c r="P60" s="5"/>
      <c r="Q60" s="5"/>
    </row>
    <row r="61" customFormat="false" ht="78" hidden="false" customHeight="true" outlineLevel="0" collapsed="false">
      <c r="A61" s="6" t="n">
        <v>60</v>
      </c>
      <c r="B61" s="6" t="s">
        <v>437</v>
      </c>
      <c r="C61" s="6" t="s">
        <v>438</v>
      </c>
      <c r="D61" s="6" t="s">
        <v>239</v>
      </c>
      <c r="E61" s="6" t="s">
        <v>49</v>
      </c>
      <c r="F61" s="6" t="s">
        <v>50</v>
      </c>
      <c r="G61" s="6" t="s">
        <v>459</v>
      </c>
      <c r="H61" s="6" t="s">
        <v>460</v>
      </c>
      <c r="I61" s="7" t="s">
        <v>461</v>
      </c>
      <c r="J61" s="6" t="s">
        <v>462</v>
      </c>
      <c r="K61" s="6" t="s">
        <v>463</v>
      </c>
      <c r="L61" s="8" t="s">
        <v>8</v>
      </c>
      <c r="M61" s="6" t="s">
        <v>464</v>
      </c>
      <c r="N61" s="6" t="s">
        <v>89</v>
      </c>
      <c r="O61" s="6" t="s">
        <v>465</v>
      </c>
      <c r="P61" s="5"/>
      <c r="Q61" s="5"/>
    </row>
  </sheetData>
  <autoFilter ref="A1:Q61"/>
  <dataValidations count="1">
    <dataValidation allowBlank="true" errorStyle="stop" operator="between" prompt="Selecione o parecer" promptTitle="Parecer do avaliador" showDropDown="false" showErrorMessage="false" showInputMessage="false" sqref="P2:P61" type="list">
      <formula1>"Aprovado,Aprovado com ajuste,Reprovado"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9" t="s">
        <v>466</v>
      </c>
    </row>
    <row r="2" customFormat="false" ht="15" hidden="false" customHeight="false" outlineLevel="0" collapsed="false">
      <c r="A2" s="10" t="s">
        <v>467</v>
      </c>
    </row>
    <row r="3" customFormat="false" ht="15" hidden="false" customHeight="false" outlineLevel="0" collapsed="false">
      <c r="A3" s="10" t="s">
        <v>468</v>
      </c>
    </row>
    <row r="5" customFormat="false" ht="15" hidden="false" customHeight="false" outlineLevel="0" collapsed="false">
      <c r="A5" s="9" t="s">
        <v>469</v>
      </c>
    </row>
    <row r="6" customFormat="false" ht="15" hidden="false" customHeight="false" outlineLevel="0" collapsed="false">
      <c r="A6" s="11" t="s">
        <v>470</v>
      </c>
      <c r="B6" s="12" t="n">
        <f aca="false">COUNTA(Perguntas!A2:A61)</f>
        <v>60</v>
      </c>
    </row>
    <row r="7" customFormat="false" ht="15" hidden="false" customHeight="false" outlineLevel="0" collapsed="false">
      <c r="A7" s="10" t="s">
        <v>471</v>
      </c>
      <c r="B7" s="13" t="n">
        <f aca="true">SUMPRODUCT((COUNTIF(OFFSET(Perguntas!$B$2,0,0,60,1),OFFSET(Perguntas!$B$2,0,0,60,1))&gt;0)/COUNTIF(OFFSET(Perguntas!$B$2,0,0,60,1),OFFSET(Perguntas!$B$2,0,0,60,1)))</f>
        <v>15</v>
      </c>
    </row>
    <row r="9" customFormat="false" ht="15" hidden="false" customHeight="false" outlineLevel="0" collapsed="false">
      <c r="A9" s="9" t="s">
        <v>472</v>
      </c>
    </row>
    <row r="10" customFormat="false" ht="15" hidden="false" customHeight="false" outlineLevel="0" collapsed="false">
      <c r="A10" s="10" t="s">
        <v>20</v>
      </c>
      <c r="B10" s="13" t="n">
        <f aca="false">COUNTIF(Perguntas!$E$2:$E$61,A10)</f>
        <v>15</v>
      </c>
      <c r="C10" s="14" t="s">
        <v>473</v>
      </c>
    </row>
    <row r="11" customFormat="false" ht="15" hidden="false" customHeight="false" outlineLevel="0" collapsed="false">
      <c r="A11" s="10" t="s">
        <v>30</v>
      </c>
      <c r="B11" s="13" t="n">
        <f aca="false">COUNTIF(Perguntas!$E$2:$E$61,A11)</f>
        <v>15</v>
      </c>
      <c r="C11" s="14" t="s">
        <v>474</v>
      </c>
    </row>
    <row r="12" customFormat="false" ht="23.85" hidden="false" customHeight="false" outlineLevel="0" collapsed="false">
      <c r="A12" s="10" t="s">
        <v>40</v>
      </c>
      <c r="B12" s="13" t="n">
        <f aca="false">COUNTIF(Perguntas!$E$2:$E$61,A12)</f>
        <v>15</v>
      </c>
      <c r="C12" s="14" t="s">
        <v>475</v>
      </c>
    </row>
    <row r="13" customFormat="false" ht="23.85" hidden="false" customHeight="false" outlineLevel="0" collapsed="false">
      <c r="A13" s="10" t="s">
        <v>49</v>
      </c>
      <c r="B13" s="13" t="n">
        <f aca="false">COUNTIF(Perguntas!$E$2:$E$61,A13)</f>
        <v>15</v>
      </c>
      <c r="C13" s="14" t="s">
        <v>476</v>
      </c>
    </row>
    <row r="15" customFormat="false" ht="15" hidden="false" customHeight="false" outlineLevel="0" collapsed="false">
      <c r="A15" s="9" t="s">
        <v>477</v>
      </c>
    </row>
    <row r="16" customFormat="false" ht="15" hidden="false" customHeight="false" outlineLevel="0" collapsed="false">
      <c r="A16" s="10" t="s">
        <v>478</v>
      </c>
      <c r="B16" s="13" t="n">
        <f aca="false">COUNTIF(Perguntas!$P$2:$P$61,A16)</f>
        <v>0</v>
      </c>
    </row>
    <row r="17" customFormat="false" ht="15" hidden="false" customHeight="false" outlineLevel="0" collapsed="false">
      <c r="A17" s="10" t="s">
        <v>479</v>
      </c>
      <c r="B17" s="13" t="n">
        <f aca="false">COUNTIF(Perguntas!$P$2:$P$61,A17)</f>
        <v>0</v>
      </c>
    </row>
    <row r="18" customFormat="false" ht="15" hidden="false" customHeight="false" outlineLevel="0" collapsed="false">
      <c r="A18" s="10" t="s">
        <v>480</v>
      </c>
      <c r="B18" s="13" t="n">
        <f aca="false">COUNTIF(Perguntas!$P$2:$P$61,A18)</f>
        <v>0</v>
      </c>
    </row>
    <row r="19" customFormat="false" ht="15" hidden="false" customHeight="false" outlineLevel="0" collapsed="false">
      <c r="A19" s="11" t="s">
        <v>481</v>
      </c>
      <c r="B19" s="12" t="n">
        <f aca="false">COUNTA(Perguntas!$A$2:$A$61)-COUNTA(Perguntas!$P$2:$P$61)</f>
        <v>60</v>
      </c>
    </row>
    <row r="21" customFormat="false" ht="15" hidden="false" customHeight="false" outlineLevel="0" collapsed="false">
      <c r="A21" s="9" t="s">
        <v>482</v>
      </c>
    </row>
    <row r="22" customFormat="false" ht="23.85" hidden="false" customHeight="false" outlineLevel="0" collapsed="false">
      <c r="A22" s="10" t="s">
        <v>483</v>
      </c>
      <c r="C22" s="14" t="s">
        <v>484</v>
      </c>
    </row>
    <row r="23" customFormat="false" ht="23.85" hidden="false" customHeight="false" outlineLevel="0" collapsed="false">
      <c r="A23" s="10" t="s">
        <v>485</v>
      </c>
      <c r="C23" s="14" t="s">
        <v>486</v>
      </c>
    </row>
    <row r="24" customFormat="false" ht="15" hidden="false" customHeight="false" outlineLevel="0" collapsed="false">
      <c r="A24" s="10" t="s">
        <v>487</v>
      </c>
      <c r="C24" s="14" t="s">
        <v>488</v>
      </c>
    </row>
    <row r="25" customFormat="false" ht="15" hidden="false" customHeight="false" outlineLevel="0" collapsed="false">
      <c r="A25" s="10" t="s">
        <v>489</v>
      </c>
      <c r="C25" s="14" t="s">
        <v>490</v>
      </c>
    </row>
    <row r="27" customFormat="false" ht="15" hidden="false" customHeight="false" outlineLevel="0" collapsed="false">
      <c r="A27" s="9" t="s">
        <v>491</v>
      </c>
    </row>
    <row r="28" customFormat="false" ht="30" hidden="false" customHeight="true" outlineLevel="0" collapsed="false">
      <c r="A28" s="10" t="s">
        <v>492</v>
      </c>
      <c r="C28" s="14" t="s">
        <v>493</v>
      </c>
    </row>
    <row r="29" customFormat="false" ht="30" hidden="false" customHeight="true" outlineLevel="0" collapsed="false">
      <c r="A29" s="10" t="s">
        <v>322</v>
      </c>
      <c r="C29" s="14" t="s">
        <v>494</v>
      </c>
    </row>
    <row r="30" customFormat="false" ht="30" hidden="false" customHeight="true" outlineLevel="0" collapsed="false">
      <c r="A30" s="10" t="s">
        <v>409</v>
      </c>
      <c r="C30" s="14" t="s">
        <v>495</v>
      </c>
    </row>
    <row r="31" customFormat="false" ht="30" hidden="false" customHeight="true" outlineLevel="0" collapsed="false">
      <c r="A31" s="10" t="s">
        <v>496</v>
      </c>
      <c r="C31" s="14" t="s">
        <v>497</v>
      </c>
    </row>
    <row r="32" customFormat="false" ht="30" hidden="false" customHeight="true" outlineLevel="0" collapsed="false">
      <c r="A32" s="10" t="s">
        <v>498</v>
      </c>
      <c r="C32" s="14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2026-08-14T18:30:43Z</dcterms:created>
  <dc:creator>openpyxl</dc:creator>
  <dc:description/>
  <dc:language>en-US</dc:language>
  <cp:lastModifiedBy/>
  <dcterms:modified xsi:type="dcterms:W3CDTF">2026-08-14T18:30:44Z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